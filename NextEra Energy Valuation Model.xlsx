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40DF90EF-9859-4384-ABA3-DC67E64EDEE0}" xr6:coauthVersionLast="47" xr6:coauthVersionMax="47" xr10:uidLastSave="{00000000-0000-0000-0000-000000000000}"/>
  <bookViews>
    <workbookView xWindow="-120" yWindow="-120" windowWidth="29040" windowHeight="16440" activeTab="2" xr2:uid="{E13E8381-438E-4BB3-A13D-F7197766F559}"/>
  </bookViews>
  <sheets>
    <sheet name="Cover" sheetId="1" r:id="rId1"/>
    <sheet name="Assumptions" sheetId="2" r:id="rId2"/>
    <sheet name="Historicals" sheetId="3" r:id="rId3"/>
    <sheet name="Forecast" sheetId="4" r:id="rId4"/>
    <sheet name="FinStatements" sheetId="5" r:id="rId5"/>
    <sheet name="WACC" sheetId="6" r:id="rId6"/>
    <sheet name="DCF" sheetId="7" r:id="rId7"/>
    <sheet name="Comps" sheetId="8" r:id="rId8"/>
    <sheet name="Output"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9" l="1"/>
  <c r="F19" i="9"/>
  <c r="F14" i="9"/>
  <c r="F13" i="9"/>
  <c r="F12" i="9"/>
  <c r="F9" i="9"/>
  <c r="F8" i="9"/>
  <c r="F7" i="9"/>
  <c r="F6" i="9"/>
  <c r="F5" i="9"/>
  <c r="C24" i="8"/>
  <c r="C23" i="8"/>
  <c r="C22" i="8"/>
  <c r="C21" i="8"/>
  <c r="C12" i="8"/>
  <c r="C11" i="8"/>
  <c r="C17" i="6"/>
  <c r="C14" i="6"/>
  <c r="C13" i="6"/>
  <c r="C9" i="6"/>
  <c r="C10" i="6" s="1"/>
  <c r="C8" i="6"/>
  <c r="C6" i="6"/>
  <c r="C5" i="6"/>
  <c r="C4" i="6"/>
  <c r="C3" i="6"/>
  <c r="D10" i="4"/>
  <c r="E10" i="4"/>
  <c r="F10" i="4"/>
  <c r="G10" i="4"/>
  <c r="H10" i="4"/>
  <c r="I10" i="4"/>
  <c r="J10" i="4"/>
  <c r="K10" i="4"/>
  <c r="L10" i="4"/>
  <c r="C10" i="4"/>
  <c r="D9" i="4"/>
  <c r="E9" i="4"/>
  <c r="F9" i="4"/>
  <c r="G9" i="4"/>
  <c r="H9" i="4"/>
  <c r="I9" i="4"/>
  <c r="J9" i="4"/>
  <c r="K9" i="4"/>
  <c r="L9" i="4"/>
  <c r="D17" i="5"/>
  <c r="D18" i="5" s="1"/>
  <c r="E17" i="5"/>
  <c r="F17" i="5"/>
  <c r="F18" i="5" s="1"/>
  <c r="G17" i="5"/>
  <c r="G18" i="5" s="1"/>
  <c r="H17" i="5"/>
  <c r="I17" i="5"/>
  <c r="J17" i="5"/>
  <c r="K17" i="5"/>
  <c r="L17" i="5"/>
  <c r="C9" i="4"/>
  <c r="D8" i="4"/>
  <c r="E8" i="4"/>
  <c r="F8" i="4"/>
  <c r="G8" i="4"/>
  <c r="H8" i="4"/>
  <c r="I8" i="4"/>
  <c r="J8" i="4"/>
  <c r="K8" i="4"/>
  <c r="L8" i="4"/>
  <c r="C8" i="4"/>
  <c r="C7" i="4"/>
  <c r="D7" i="4"/>
  <c r="E7" i="4"/>
  <c r="F7" i="4"/>
  <c r="G7" i="4"/>
  <c r="H7" i="4"/>
  <c r="I7" i="4"/>
  <c r="J7" i="4"/>
  <c r="K7" i="4"/>
  <c r="L7" i="4"/>
  <c r="D6" i="4"/>
  <c r="E6" i="4"/>
  <c r="F6" i="4"/>
  <c r="G6" i="4"/>
  <c r="H6" i="4"/>
  <c r="I6" i="4"/>
  <c r="J6" i="4"/>
  <c r="K6" i="4"/>
  <c r="L6" i="4"/>
  <c r="C6" i="4"/>
  <c r="D5" i="4"/>
  <c r="E5" i="4"/>
  <c r="F5" i="4"/>
  <c r="G5" i="4"/>
  <c r="H5" i="4"/>
  <c r="I5" i="4"/>
  <c r="J5" i="4"/>
  <c r="K5" i="4"/>
  <c r="L5" i="4"/>
  <c r="C5" i="4"/>
  <c r="D4" i="4"/>
  <c r="E4" i="4"/>
  <c r="F4" i="4"/>
  <c r="G4" i="4"/>
  <c r="H4" i="4"/>
  <c r="I4" i="4"/>
  <c r="J4" i="4"/>
  <c r="K4" i="4"/>
  <c r="L4" i="4"/>
  <c r="C4" i="4"/>
  <c r="E6" i="3"/>
  <c r="F6" i="3"/>
  <c r="D9" i="3"/>
  <c r="E9" i="3"/>
  <c r="F9" i="3"/>
  <c r="D15" i="3"/>
  <c r="E15" i="3"/>
  <c r="F15" i="3"/>
  <c r="E18" i="3"/>
  <c r="F18" i="3"/>
  <c r="D18" i="3"/>
  <c r="C15" i="3"/>
  <c r="D12" i="3"/>
  <c r="E12" i="3"/>
  <c r="F12" i="3"/>
  <c r="C12" i="3"/>
  <c r="C9" i="3"/>
  <c r="D6" i="3"/>
  <c r="L14" i="7"/>
  <c r="L15" i="7" s="1"/>
  <c r="C11" i="7"/>
  <c r="E11" i="7"/>
  <c r="H11" i="7"/>
  <c r="I11" i="7"/>
  <c r="E18" i="5"/>
  <c r="H18" i="5"/>
  <c r="I18" i="5"/>
  <c r="J18" i="5"/>
  <c r="J11" i="7" s="1"/>
  <c r="K18" i="5"/>
  <c r="K11" i="7" s="1"/>
  <c r="L18" i="5"/>
  <c r="L11" i="7" s="1"/>
  <c r="C18" i="5"/>
  <c r="C17" i="5"/>
  <c r="D15" i="5"/>
  <c r="E15" i="5"/>
  <c r="F15" i="5"/>
  <c r="G15" i="5"/>
  <c r="H15" i="5"/>
  <c r="I15" i="5"/>
  <c r="J15" i="5"/>
  <c r="K15" i="5"/>
  <c r="L15" i="5"/>
  <c r="C15" i="5"/>
  <c r="D13" i="5"/>
  <c r="E13" i="5"/>
  <c r="F13" i="5"/>
  <c r="G13" i="5"/>
  <c r="H13" i="5"/>
  <c r="I13" i="5"/>
  <c r="J13" i="5"/>
  <c r="K13" i="5"/>
  <c r="L13" i="5"/>
  <c r="C13" i="5"/>
  <c r="D9" i="5"/>
  <c r="E9" i="5"/>
  <c r="F9" i="5"/>
  <c r="G9" i="5"/>
  <c r="H9" i="5"/>
  <c r="I9" i="5"/>
  <c r="J9" i="5"/>
  <c r="K9" i="5"/>
  <c r="L9" i="5"/>
  <c r="C9" i="5"/>
  <c r="I6" i="5"/>
  <c r="J6" i="5" s="1"/>
  <c r="K6" i="5" s="1"/>
  <c r="L6" i="5" s="1"/>
  <c r="H6" i="5"/>
  <c r="E7" i="5"/>
  <c r="F7" i="5"/>
  <c r="G7" i="5"/>
  <c r="D7" i="5"/>
  <c r="D4" i="5"/>
  <c r="E4" i="5"/>
  <c r="F4" i="5"/>
  <c r="G4" i="5"/>
  <c r="H4" i="5"/>
  <c r="I4" i="5"/>
  <c r="J4" i="5"/>
  <c r="K4" i="5"/>
  <c r="L4" i="5"/>
  <c r="C4" i="5"/>
  <c r="D8" i="7"/>
  <c r="E8" i="7"/>
  <c r="F8" i="7"/>
  <c r="G8" i="7"/>
  <c r="H8" i="7"/>
  <c r="I8" i="7"/>
  <c r="J8" i="7"/>
  <c r="K8" i="7"/>
  <c r="L8" i="7"/>
  <c r="C8" i="7"/>
  <c r="C9" i="7" s="1"/>
  <c r="D6" i="7"/>
  <c r="D9" i="7" s="1"/>
  <c r="D5" i="7"/>
  <c r="E5" i="7"/>
  <c r="F5" i="7"/>
  <c r="G5" i="7"/>
  <c r="H5" i="7"/>
  <c r="I5" i="7"/>
  <c r="J5" i="7"/>
  <c r="K5" i="7"/>
  <c r="L5" i="7"/>
  <c r="C5" i="7"/>
  <c r="D36" i="2"/>
  <c r="E36" i="2"/>
  <c r="F36" i="2"/>
  <c r="G36" i="2"/>
  <c r="H36" i="2"/>
  <c r="I36" i="2"/>
  <c r="J36" i="2"/>
  <c r="K36" i="2"/>
  <c r="L36" i="2"/>
  <c r="C36" i="2"/>
  <c r="D34" i="2"/>
  <c r="E34" i="2"/>
  <c r="F34" i="2"/>
  <c r="G34" i="2"/>
  <c r="H34" i="2"/>
  <c r="I34" i="2"/>
  <c r="J34" i="2"/>
  <c r="K34" i="2"/>
  <c r="L34" i="2"/>
  <c r="C34" i="2"/>
  <c r="G32" i="2"/>
  <c r="D32" i="2"/>
  <c r="E32" i="2"/>
  <c r="F32" i="2"/>
  <c r="H32" i="2"/>
  <c r="I32" i="2"/>
  <c r="J32" i="2"/>
  <c r="K32" i="2"/>
  <c r="L32" i="2"/>
  <c r="C32" i="2"/>
  <c r="C30" i="2"/>
  <c r="C28" i="2"/>
  <c r="C26" i="2"/>
  <c r="C21" i="2"/>
  <c r="C15" i="2"/>
  <c r="C12" i="2"/>
  <c r="C16" i="6" l="1"/>
  <c r="G11" i="7"/>
  <c r="F11" i="7"/>
  <c r="D11" i="7"/>
  <c r="E6" i="7"/>
  <c r="F6" i="7" s="1"/>
  <c r="D12" i="7"/>
  <c r="C12" i="7"/>
  <c r="G6" i="7" l="1"/>
  <c r="F9" i="7"/>
  <c r="F12" i="7" s="1"/>
  <c r="E9" i="7"/>
  <c r="E12" i="7" s="1"/>
  <c r="H6" i="7" l="1"/>
  <c r="G9" i="7"/>
  <c r="G12" i="7" s="1"/>
  <c r="I6" i="7" l="1"/>
  <c r="H9" i="7"/>
  <c r="H12" i="7" s="1"/>
  <c r="J6" i="7" l="1"/>
  <c r="I9" i="7"/>
  <c r="I12" i="7" s="1"/>
  <c r="K6" i="7" l="1"/>
  <c r="J9" i="7"/>
  <c r="J12" i="7" s="1"/>
  <c r="L6" i="7" l="1"/>
  <c r="L9" i="7" s="1"/>
  <c r="K9" i="7"/>
  <c r="K12" i="7" s="1"/>
  <c r="L12" i="7" l="1"/>
  <c r="L16" i="7"/>
  <c r="L18" i="7" l="1"/>
  <c r="L20" i="7" s="1"/>
</calcChain>
</file>

<file path=xl/sharedStrings.xml><?xml version="1.0" encoding="utf-8"?>
<sst xmlns="http://schemas.openxmlformats.org/spreadsheetml/2006/main" count="170" uniqueCount="137">
  <si>
    <t>Years</t>
  </si>
  <si>
    <t>Period</t>
  </si>
  <si>
    <t>Historical</t>
  </si>
  <si>
    <t>Forecast</t>
  </si>
  <si>
    <t>Macro Assumptions</t>
  </si>
  <si>
    <t>Risk free rate (10Y)</t>
  </si>
  <si>
    <t>ERP</t>
  </si>
  <si>
    <t>Corporate Tax Rate</t>
  </si>
  <si>
    <t>Beta (levered)</t>
  </si>
  <si>
    <t>Cost of equity (Re)</t>
  </si>
  <si>
    <t>Cost of debt (pre-tax)</t>
  </si>
  <si>
    <t>Cost of debt (after-tax)</t>
  </si>
  <si>
    <t>Capital Structure</t>
  </si>
  <si>
    <t>Equity weight (E/V)</t>
  </si>
  <si>
    <t>Debt weight (D/V)</t>
  </si>
  <si>
    <t>WACC (current)</t>
  </si>
  <si>
    <t>Normalized Assumptions</t>
  </si>
  <si>
    <t>Risk-free rate (normalized)</t>
  </si>
  <si>
    <t>Cost of debt (normalized, pre-tax)</t>
  </si>
  <si>
    <t>Cost of debt (normalized, after-tax)</t>
  </si>
  <si>
    <t>Cost of equity (normalized)</t>
  </si>
  <si>
    <t>WACC (normalized)</t>
  </si>
  <si>
    <t>WACC glide path</t>
  </si>
  <si>
    <t>Weight on current WACC</t>
  </si>
  <si>
    <t>Weight on normalized WACC</t>
  </si>
  <si>
    <t>Blended WACC</t>
  </si>
  <si>
    <t>DCF</t>
  </si>
  <si>
    <t>Year</t>
  </si>
  <si>
    <t>Year #</t>
  </si>
  <si>
    <t>Discount factor</t>
  </si>
  <si>
    <t>FCFF</t>
  </si>
  <si>
    <t>PV of FCFF</t>
  </si>
  <si>
    <t>Terminal Value</t>
  </si>
  <si>
    <t>PV of Terminal Value</t>
  </si>
  <si>
    <t>EBIT</t>
  </si>
  <si>
    <t>Less: Cash taxes</t>
  </si>
  <si>
    <t>NOPAT</t>
  </si>
  <si>
    <t>Add: Depreciation &amp; amortization</t>
  </si>
  <si>
    <t>Less: Capital expenditures</t>
  </si>
  <si>
    <t>Less: Change in net working capital</t>
  </si>
  <si>
    <t>Financial Statements (Operating Build)</t>
  </si>
  <si>
    <t>Revenue</t>
  </si>
  <si>
    <t>Revenue growth</t>
  </si>
  <si>
    <t>EBIT margin</t>
  </si>
  <si>
    <t>Depreciation &amp; amortization</t>
  </si>
  <si>
    <t>Capital expenditures</t>
  </si>
  <si>
    <t>Change in net working capital</t>
  </si>
  <si>
    <t>USD (billions)</t>
  </si>
  <si>
    <t>Revenue growth (forecast)</t>
  </si>
  <si>
    <t>-</t>
  </si>
  <si>
    <t>Depreciation &amp; amortization ($)</t>
  </si>
  <si>
    <t>Capital expenditures ($)</t>
  </si>
  <si>
    <t>Change in net working capital ($)</t>
  </si>
  <si>
    <t>Terminal growth rate</t>
  </si>
  <si>
    <t>Enterprise Value</t>
  </si>
  <si>
    <t>Less: Net Debt</t>
  </si>
  <si>
    <t>Equity Value</t>
  </si>
  <si>
    <t>S</t>
  </si>
  <si>
    <t>Terminal maintenance capex (% of revenue)</t>
  </si>
  <si>
    <t>Terminal FCFF (normalized)</t>
  </si>
  <si>
    <t>Actual</t>
  </si>
  <si>
    <t>Revenue (USD bn)</t>
  </si>
  <si>
    <t>Revenue growth %</t>
  </si>
  <si>
    <t>EBIT Margin %</t>
  </si>
  <si>
    <t>D&amp;A % of revenue</t>
  </si>
  <si>
    <t>Capex % of revenue</t>
  </si>
  <si>
    <t>Change in NWC % of Revenue</t>
  </si>
  <si>
    <t>WACC Inputs</t>
  </si>
  <si>
    <t>Risk-free rate</t>
  </si>
  <si>
    <t>Equity Risk Premium</t>
  </si>
  <si>
    <t>Levered Beta</t>
  </si>
  <si>
    <t>Cost of Equity</t>
  </si>
  <si>
    <t>Pre-tax Cost of Debt</t>
  </si>
  <si>
    <t>Tax Rate</t>
  </si>
  <si>
    <t>After-tax Cost of Debt</t>
  </si>
  <si>
    <t>Equity Weight</t>
  </si>
  <si>
    <t>Debt Weight</t>
  </si>
  <si>
    <t>WACC (Current)</t>
  </si>
  <si>
    <t>WACC (Normalized)</t>
  </si>
  <si>
    <t>All Figures in USD Billions</t>
  </si>
  <si>
    <t>Comps (Trading Multiples)</t>
  </si>
  <si>
    <t>Input</t>
  </si>
  <si>
    <t>Share Price</t>
  </si>
  <si>
    <t>Shares Outstanding (mm)</t>
  </si>
  <si>
    <t>Net Debt</t>
  </si>
  <si>
    <t>Market Value</t>
  </si>
  <si>
    <t>Market Cap</t>
  </si>
  <si>
    <t>Enterprise  Value</t>
  </si>
  <si>
    <t>Operating (TTM)</t>
  </si>
  <si>
    <t>EBITDA</t>
  </si>
  <si>
    <t>Net Income</t>
  </si>
  <si>
    <t>Multiples</t>
  </si>
  <si>
    <t>EV / Revenue</t>
  </si>
  <si>
    <t>EV / EBIT</t>
  </si>
  <si>
    <t>P / E</t>
  </si>
  <si>
    <t>EV / EBITDA</t>
  </si>
  <si>
    <t>EBITD</t>
  </si>
  <si>
    <t>Valuation Summary</t>
  </si>
  <si>
    <t>DCF Valuation</t>
  </si>
  <si>
    <t>Shares Outstanding</t>
  </si>
  <si>
    <t>Implied Share Price</t>
  </si>
  <si>
    <t>Trading Comps Valuation</t>
  </si>
  <si>
    <t>Current Share Price</t>
  </si>
  <si>
    <t>Implied Multiple (EV/EBITDA)</t>
  </si>
  <si>
    <t>Implied Share Price (Comps)</t>
  </si>
  <si>
    <t>Valuation Conclusion</t>
  </si>
  <si>
    <t>DCF Weight</t>
  </si>
  <si>
    <t>Comps Weight</t>
  </si>
  <si>
    <t>Blended Price Target</t>
  </si>
  <si>
    <t>Upside / (Downside)</t>
  </si>
  <si>
    <t>Rating</t>
  </si>
  <si>
    <t>SELL</t>
  </si>
  <si>
    <t>NextEra Energy, Inc. (NYSE: NEE)</t>
  </si>
  <si>
    <t>Equity Research Initiation Report</t>
  </si>
  <si>
    <t>Investment Summary</t>
  </si>
  <si>
    <r>
      <t>Rating:</t>
    </r>
    <r>
      <rPr>
        <sz val="16"/>
        <color theme="1"/>
        <rFont val="Times New Roman"/>
        <family val="1"/>
      </rPr>
      <t xml:space="preserve"> SELL</t>
    </r>
  </si>
  <si>
    <r>
      <t>12-Month Price Target:</t>
    </r>
    <r>
      <rPr>
        <sz val="16"/>
        <color theme="1"/>
        <rFont val="Times New Roman"/>
        <family val="1"/>
      </rPr>
      <t xml:space="preserve"> $36.20</t>
    </r>
  </si>
  <si>
    <r>
      <t>Current Share Price:</t>
    </r>
    <r>
      <rPr>
        <sz val="16"/>
        <color theme="1"/>
        <rFont val="Times New Roman"/>
        <family val="1"/>
      </rPr>
      <t xml:space="preserve"> $83.85</t>
    </r>
  </si>
  <si>
    <r>
      <t>Upside / (Downside):</t>
    </r>
    <r>
      <rPr>
        <sz val="16"/>
        <color theme="1"/>
        <rFont val="Times New Roman"/>
        <family val="1"/>
      </rPr>
      <t xml:space="preserve"> -57%</t>
    </r>
  </si>
  <si>
    <r>
      <t>Sector:</t>
    </r>
    <r>
      <rPr>
        <sz val="16"/>
        <color theme="1"/>
        <rFont val="Times New Roman"/>
        <family val="1"/>
      </rPr>
      <t xml:space="preserve"> Utilities</t>
    </r>
  </si>
  <si>
    <r>
      <t>Industry:</t>
    </r>
    <r>
      <rPr>
        <sz val="16"/>
        <color theme="1"/>
        <rFont val="Times New Roman"/>
        <family val="1"/>
      </rPr>
      <t xml:space="preserve"> Regulated Utilities &amp; Renewable Energy</t>
    </r>
  </si>
  <si>
    <r>
      <t xml:space="preserve">This report initiates coverage on </t>
    </r>
    <r>
      <rPr>
        <b/>
        <sz val="12"/>
        <color theme="1"/>
        <rFont val="Times New Roman"/>
        <family val="1"/>
      </rPr>
      <t>NextEra Energy, Inc.</t>
    </r>
    <r>
      <rPr>
        <sz val="12"/>
        <color theme="1"/>
        <rFont val="Times New Roman"/>
        <family val="1"/>
      </rPr>
      <t xml:space="preserve"> with a </t>
    </r>
    <r>
      <rPr>
        <b/>
        <sz val="12"/>
        <color theme="1"/>
        <rFont val="Times New Roman"/>
        <family val="1"/>
      </rPr>
      <t>SELL</t>
    </r>
    <r>
      <rPr>
        <sz val="12"/>
        <color theme="1"/>
        <rFont val="Times New Roman"/>
        <family val="1"/>
      </rPr>
      <t xml:space="preserve"> rating. The analysis was initially framed around a </t>
    </r>
    <r>
      <rPr>
        <b/>
        <sz val="12"/>
        <color theme="1"/>
        <rFont val="Times New Roman"/>
        <family val="1"/>
      </rPr>
      <t>BUY</t>
    </r>
    <r>
      <rPr>
        <sz val="12"/>
        <color theme="1"/>
        <rFont val="Times New Roman"/>
        <family val="1"/>
      </rPr>
      <t xml:space="preserve"> </t>
    </r>
    <r>
      <rPr>
        <b/>
        <sz val="12"/>
        <color theme="1"/>
        <rFont val="Times New Roman"/>
        <family val="1"/>
      </rPr>
      <t>hypothesis</t>
    </r>
    <r>
      <rPr>
        <sz val="12"/>
        <color theme="1"/>
        <rFont val="Times New Roman"/>
        <family val="1"/>
      </rPr>
      <t xml:space="preserve">, driven by expectations of interest-rate normalization, declining cost of capital, and valuation multiple expansion across regulated and renewable utility assets. However, following a full bottom-up operating model, discounted cash flow valuation, and trading multiples analysis, the intrinsic value implied by fundamentals does not support current market pricing. Despite NextEra’s scale, high-quality asset base, and long-term renewable growth profile, elevated capital intensity and balance-sheet leverage materially constrain free cash flow available to equity holders. As a result, the initial BUY thesis was </t>
    </r>
    <r>
      <rPr>
        <b/>
        <sz val="12"/>
        <color theme="1"/>
        <rFont val="Times New Roman"/>
        <family val="1"/>
      </rPr>
      <t>disproven through valuation</t>
    </r>
    <r>
      <rPr>
        <sz val="12"/>
        <color theme="1"/>
        <rFont val="Times New Roman"/>
        <family val="1"/>
      </rPr>
      <t xml:space="preserve">, leading to a </t>
    </r>
    <r>
      <rPr>
        <b/>
        <sz val="12"/>
        <color theme="1"/>
        <rFont val="Times New Roman"/>
        <family val="1"/>
      </rPr>
      <t>SELL</t>
    </r>
    <r>
      <rPr>
        <sz val="12"/>
        <color theme="1"/>
        <rFont val="Times New Roman"/>
        <family val="1"/>
      </rPr>
      <t xml:space="preserve"> recommendation.</t>
    </r>
  </si>
  <si>
    <t>Key Takeaways</t>
  </si>
  <si>
    <t>DCF implies material downside to current market price
Capital intensity and leverage constrain equity value
Trading multiples embed optimistic assumptions
Rate normalization insufficient to justify valuation</t>
  </si>
  <si>
    <t>Valuation Overview</t>
  </si>
  <si>
    <t>Method</t>
  </si>
  <si>
    <t>Discounted Cash Flow</t>
  </si>
  <si>
    <t>Trading Comparables</t>
  </si>
  <si>
    <t>Blended Target (60% DCF / 40%  Comps)</t>
  </si>
  <si>
    <t>Conclusion</t>
  </si>
  <si>
    <t>While NextEra Energy remains a best-in-class operator within the utilities and renewables space, current valuation embeds assumptions that are not supported by cash flow fundamentals. Until valuation levels better reflect intrinsic value and balance-sheet dynamics improve, downside risk outweighs upside potential.</t>
  </si>
  <si>
    <r>
      <t xml:space="preserve">Rating: </t>
    </r>
    <r>
      <rPr>
        <b/>
        <sz val="16"/>
        <color theme="1"/>
        <rFont val="Times New Roman"/>
        <family val="1"/>
      </rPr>
      <t>SELL</t>
    </r>
  </si>
  <si>
    <t>Prepared By</t>
  </si>
  <si>
    <t>Utkarsh Vikas Pandey</t>
  </si>
  <si>
    <t>Equity Research - Utilities &amp; Energy</t>
  </si>
  <si>
    <t>21/01/2026</t>
  </si>
  <si>
    <t>Disclaimer:
This report has been prepared solely for academic and educational research purposes. It does not constitute financial, investment, legal, or tax advice, nor is it a recommendation to buy or sell any security. The analysis and valuation presented are based on publicly available information and assumptions that may not reflect actual outcomes.
Readers should not rely on this report for investment decisions and are encouraged to conduct their own independent research and due diligence or consult a qualified financial professional before making any investment decisions. The author assumes no responsibility or liability for the use of this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</si>
</sst>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Aptos Narrow"/>
      <family val="2"/>
      <scheme val="minor"/>
    </font>
    <font>
      <sz val="11"/>
      <color theme="1"/>
      <name val="Aptos Narrow"/>
      <family val="2"/>
      <scheme val="minor"/>
    </font>
    <font>
      <sz val="11"/>
      <color theme="1"/>
      <name val="Times New Roman"/>
      <family val="1"/>
    </font>
    <font>
      <b/>
      <sz val="11"/>
      <color theme="1"/>
      <name val="Times New Roman"/>
      <family val="1"/>
    </font>
    <font>
      <i/>
      <sz val="11"/>
      <color theme="1"/>
      <name val="Times New Roman"/>
      <family val="1"/>
    </font>
    <font>
      <b/>
      <i/>
      <sz val="11"/>
      <color theme="1"/>
      <name val="Times New Roman"/>
      <family val="1"/>
    </font>
    <font>
      <b/>
      <sz val="36"/>
      <color theme="1"/>
      <name val="Times New Roman"/>
      <family val="1"/>
    </font>
    <font>
      <sz val="36"/>
      <color theme="1"/>
      <name val="Times New Roman"/>
      <family val="1"/>
    </font>
    <font>
      <sz val="14"/>
      <color theme="1"/>
      <name val="Times New Roman"/>
      <family val="1"/>
    </font>
    <font>
      <sz val="16"/>
      <color theme="1"/>
      <name val="Times New Roman"/>
      <family val="1"/>
    </font>
    <font>
      <b/>
      <sz val="16"/>
      <color theme="1"/>
      <name val="Times New Roman"/>
      <family val="1"/>
    </font>
    <font>
      <sz val="12"/>
      <color theme="1"/>
      <name val="Times New Roman"/>
      <family val="1"/>
    </font>
    <font>
      <b/>
      <sz val="12"/>
      <color theme="1"/>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0" fontId="2" fillId="0" borderId="0" xfId="0" applyNumberFormat="1" applyFont="1"/>
    <xf numFmtId="2" fontId="2" fillId="0" borderId="0" xfId="1" applyNumberFormat="1" applyFont="1"/>
    <xf numFmtId="10" fontId="2" fillId="0" borderId="0" xfId="1" applyNumberFormat="1" applyFont="1"/>
    <xf numFmtId="9" fontId="2" fillId="0" borderId="0" xfId="0" applyNumberFormat="1" applyFont="1"/>
    <xf numFmtId="10" fontId="3" fillId="0" borderId="0" xfId="0" applyNumberFormat="1" applyFont="1"/>
    <xf numFmtId="165" fontId="2" fillId="0" borderId="0" xfId="0" applyNumberFormat="1" applyFont="1"/>
    <xf numFmtId="0" fontId="4" fillId="0" borderId="0" xfId="0" applyFont="1"/>
    <xf numFmtId="0" fontId="2" fillId="0" borderId="0" xfId="0" applyFont="1" applyAlignment="1">
      <alignment horizontal="right"/>
    </xf>
    <xf numFmtId="164" fontId="2" fillId="0" borderId="0" xfId="0" applyNumberFormat="1" applyFont="1"/>
    <xf numFmtId="2" fontId="2" fillId="0" borderId="0" xfId="0" applyNumberFormat="1" applyFont="1"/>
    <xf numFmtId="164" fontId="2" fillId="0" borderId="0" xfId="1" applyNumberFormat="1" applyFont="1"/>
    <xf numFmtId="0" fontId="2" fillId="0" borderId="0" xfId="0" applyFont="1" applyAlignment="1">
      <alignment horizontal="center"/>
    </xf>
    <xf numFmtId="0" fontId="3" fillId="0" borderId="0" xfId="0" applyFont="1" applyAlignment="1">
      <alignment horizontal="center"/>
    </xf>
    <xf numFmtId="9" fontId="2" fillId="0" borderId="0" xfId="1" applyFont="1" applyAlignment="1">
      <alignment horizontal="center"/>
    </xf>
    <xf numFmtId="164" fontId="2" fillId="0" borderId="0" xfId="1" applyNumberFormat="1" applyFont="1" applyAlignment="1">
      <alignment horizontal="center"/>
    </xf>
    <xf numFmtId="2" fontId="2" fillId="0" borderId="0" xfId="0" applyNumberFormat="1" applyFont="1" applyAlignment="1">
      <alignment horizontal="center"/>
    </xf>
    <xf numFmtId="165" fontId="2" fillId="0" borderId="0" xfId="0" applyNumberFormat="1" applyFont="1" applyAlignment="1">
      <alignment horizontal="center"/>
    </xf>
    <xf numFmtId="0" fontId="5" fillId="0" borderId="0" xfId="0" applyFont="1"/>
    <xf numFmtId="0" fontId="3" fillId="0" borderId="0" xfId="0" applyFont="1" applyAlignment="1">
      <alignment horizontal="center"/>
    </xf>
    <xf numFmtId="3" fontId="2" fillId="0" borderId="0" xfId="0" applyNumberFormat="1" applyFont="1"/>
    <xf numFmtId="9" fontId="2" fillId="0" borderId="0" xfId="0" applyNumberFormat="1" applyFont="1" applyAlignment="1">
      <alignment horizontal="center"/>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2" fillId="0" borderId="0" xfId="0" applyFont="1" applyAlignment="1">
      <alignment wrapText="1"/>
    </xf>
    <xf numFmtId="0" fontId="0" fillId="0" borderId="0" xfId="0" applyAlignment="1">
      <alignment horizontal="center" vertical="center" wrapText="1"/>
    </xf>
    <xf numFmtId="0" fontId="0" fillId="0" borderId="0" xfId="0" applyAlignment="1">
      <alignment vertical="center" wrapText="1"/>
    </xf>
    <xf numFmtId="0" fontId="11"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2" xfId="0" applyFont="1" applyBorder="1"/>
    <xf numFmtId="2" fontId="2" fillId="0" borderId="2" xfId="0" applyNumberFormat="1" applyFont="1" applyBorder="1" applyAlignment="1">
      <alignment horizontal="center"/>
    </xf>
    <xf numFmtId="0" fontId="4" fillId="0" borderId="0" xfId="0" applyFont="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2022B-0AE0-4D03-AEAD-24AE46C139E0}">
  <dimension ref="B2:P70"/>
  <sheetViews>
    <sheetView workbookViewId="0">
      <selection activeCell="B13" sqref="B13:K25"/>
    </sheetView>
  </sheetViews>
  <sheetFormatPr defaultRowHeight="15" x14ac:dyDescent="0.25"/>
  <cols>
    <col min="1" max="16384" width="9.140625" style="1"/>
  </cols>
  <sheetData>
    <row r="2" spans="2:16" ht="45.75" x14ac:dyDescent="0.65">
      <c r="B2" s="24" t="s">
        <v>112</v>
      </c>
      <c r="C2" s="25"/>
      <c r="D2" s="25"/>
      <c r="E2" s="25"/>
    </row>
    <row r="3" spans="2:16" ht="45.75" x14ac:dyDescent="0.65">
      <c r="B3" s="24" t="s">
        <v>113</v>
      </c>
      <c r="C3" s="25"/>
      <c r="D3" s="25"/>
      <c r="E3" s="25"/>
    </row>
    <row r="5" spans="2:16" ht="20.25" x14ac:dyDescent="0.3">
      <c r="B5" s="28" t="s">
        <v>115</v>
      </c>
    </row>
    <row r="6" spans="2:16" ht="20.25" x14ac:dyDescent="0.3">
      <c r="B6" s="28" t="s">
        <v>116</v>
      </c>
    </row>
    <row r="7" spans="2:16" ht="20.25" x14ac:dyDescent="0.3">
      <c r="B7" s="28" t="s">
        <v>117</v>
      </c>
    </row>
    <row r="8" spans="2:16" ht="20.25" x14ac:dyDescent="0.3">
      <c r="B8" s="28" t="s">
        <v>118</v>
      </c>
    </row>
    <row r="9" spans="2:16" ht="20.25" x14ac:dyDescent="0.3">
      <c r="B9" s="28" t="s">
        <v>119</v>
      </c>
    </row>
    <row r="10" spans="2:16" ht="20.25" x14ac:dyDescent="0.3">
      <c r="B10" s="28" t="s">
        <v>120</v>
      </c>
    </row>
    <row r="12" spans="2:16" ht="20.25" x14ac:dyDescent="0.3">
      <c r="B12" s="27" t="s">
        <v>114</v>
      </c>
    </row>
    <row r="13" spans="2:16" ht="15" customHeight="1" x14ac:dyDescent="0.25">
      <c r="B13" s="32" t="s">
        <v>121</v>
      </c>
      <c r="C13" s="32"/>
      <c r="D13" s="32"/>
      <c r="E13" s="32"/>
      <c r="F13" s="32"/>
      <c r="G13" s="32"/>
      <c r="H13" s="32"/>
      <c r="I13" s="32"/>
      <c r="J13" s="32"/>
      <c r="K13" s="32"/>
      <c r="L13" s="31"/>
      <c r="M13" s="31"/>
      <c r="N13" s="31"/>
      <c r="O13" s="31"/>
      <c r="P13" s="31"/>
    </row>
    <row r="14" spans="2:16" x14ac:dyDescent="0.25">
      <c r="B14" s="32"/>
      <c r="C14" s="32"/>
      <c r="D14" s="32"/>
      <c r="E14" s="32"/>
      <c r="F14" s="32"/>
      <c r="G14" s="32"/>
      <c r="H14" s="32"/>
      <c r="I14" s="32"/>
      <c r="J14" s="32"/>
      <c r="K14" s="32"/>
      <c r="L14" s="31"/>
      <c r="M14" s="31"/>
      <c r="N14" s="31"/>
      <c r="O14" s="31"/>
      <c r="P14" s="31"/>
    </row>
    <row r="15" spans="2:16" x14ac:dyDescent="0.25">
      <c r="B15" s="32"/>
      <c r="C15" s="32"/>
      <c r="D15" s="32"/>
      <c r="E15" s="32"/>
      <c r="F15" s="32"/>
      <c r="G15" s="32"/>
      <c r="H15" s="32"/>
      <c r="I15" s="32"/>
      <c r="J15" s="32"/>
      <c r="K15" s="32"/>
      <c r="L15" s="31"/>
      <c r="M15" s="31"/>
      <c r="N15" s="31"/>
      <c r="O15" s="31"/>
      <c r="P15" s="31"/>
    </row>
    <row r="16" spans="2:16" x14ac:dyDescent="0.25">
      <c r="B16" s="32"/>
      <c r="C16" s="32"/>
      <c r="D16" s="32"/>
      <c r="E16" s="32"/>
      <c r="F16" s="32"/>
      <c r="G16" s="32"/>
      <c r="H16" s="32"/>
      <c r="I16" s="32"/>
      <c r="J16" s="32"/>
      <c r="K16" s="32"/>
      <c r="L16" s="31"/>
      <c r="M16" s="31"/>
      <c r="N16" s="31"/>
      <c r="O16" s="31"/>
      <c r="P16" s="31"/>
    </row>
    <row r="17" spans="2:16" x14ac:dyDescent="0.25">
      <c r="B17" s="32"/>
      <c r="C17" s="32"/>
      <c r="D17" s="32"/>
      <c r="E17" s="32"/>
      <c r="F17" s="32"/>
      <c r="G17" s="32"/>
      <c r="H17" s="32"/>
      <c r="I17" s="32"/>
      <c r="J17" s="32"/>
      <c r="K17" s="32"/>
      <c r="L17" s="31"/>
      <c r="M17" s="31"/>
      <c r="N17" s="31"/>
      <c r="O17" s="31"/>
      <c r="P17" s="31"/>
    </row>
    <row r="18" spans="2:16" x14ac:dyDescent="0.25">
      <c r="B18" s="32"/>
      <c r="C18" s="32"/>
      <c r="D18" s="32"/>
      <c r="E18" s="32"/>
      <c r="F18" s="32"/>
      <c r="G18" s="32"/>
      <c r="H18" s="32"/>
      <c r="I18" s="32"/>
      <c r="J18" s="32"/>
      <c r="K18" s="32"/>
      <c r="L18" s="31"/>
      <c r="M18" s="31"/>
      <c r="N18" s="31"/>
      <c r="O18" s="31"/>
      <c r="P18" s="31"/>
    </row>
    <row r="19" spans="2:16" x14ac:dyDescent="0.25">
      <c r="B19" s="32"/>
      <c r="C19" s="32"/>
      <c r="D19" s="32"/>
      <c r="E19" s="32"/>
      <c r="F19" s="32"/>
      <c r="G19" s="32"/>
      <c r="H19" s="32"/>
      <c r="I19" s="32"/>
      <c r="J19" s="32"/>
      <c r="K19" s="32"/>
      <c r="L19" s="31"/>
      <c r="M19" s="31"/>
      <c r="N19" s="31"/>
      <c r="O19" s="31"/>
      <c r="P19" s="31"/>
    </row>
    <row r="20" spans="2:16" x14ac:dyDescent="0.25">
      <c r="B20" s="32"/>
      <c r="C20" s="32"/>
      <c r="D20" s="32"/>
      <c r="E20" s="32"/>
      <c r="F20" s="32"/>
      <c r="G20" s="32"/>
      <c r="H20" s="32"/>
      <c r="I20" s="32"/>
      <c r="J20" s="32"/>
      <c r="K20" s="32"/>
      <c r="L20" s="31"/>
      <c r="M20" s="31"/>
      <c r="N20" s="31"/>
      <c r="O20" s="31"/>
      <c r="P20" s="31"/>
    </row>
    <row r="21" spans="2:16" x14ac:dyDescent="0.25">
      <c r="B21" s="32"/>
      <c r="C21" s="32"/>
      <c r="D21" s="32"/>
      <c r="E21" s="32"/>
      <c r="F21" s="32"/>
      <c r="G21" s="32"/>
      <c r="H21" s="32"/>
      <c r="I21" s="32"/>
      <c r="J21" s="32"/>
      <c r="K21" s="32"/>
      <c r="L21" s="31"/>
      <c r="M21" s="31"/>
      <c r="N21" s="31"/>
      <c r="O21" s="31"/>
      <c r="P21" s="31"/>
    </row>
    <row r="22" spans="2:16" x14ac:dyDescent="0.25">
      <c r="B22" s="32"/>
      <c r="C22" s="32"/>
      <c r="D22" s="32"/>
      <c r="E22" s="32"/>
      <c r="F22" s="32"/>
      <c r="G22" s="32"/>
      <c r="H22" s="32"/>
      <c r="I22" s="32"/>
      <c r="J22" s="32"/>
      <c r="K22" s="32"/>
      <c r="L22" s="31"/>
      <c r="M22" s="31"/>
      <c r="N22" s="31"/>
      <c r="O22" s="31"/>
      <c r="P22" s="31"/>
    </row>
    <row r="23" spans="2:16" x14ac:dyDescent="0.25">
      <c r="B23" s="32"/>
      <c r="C23" s="32"/>
      <c r="D23" s="32"/>
      <c r="E23" s="32"/>
      <c r="F23" s="32"/>
      <c r="G23" s="32"/>
      <c r="H23" s="32"/>
      <c r="I23" s="32"/>
      <c r="J23" s="32"/>
      <c r="K23" s="32"/>
      <c r="L23" s="31"/>
      <c r="M23" s="31"/>
      <c r="N23" s="31"/>
      <c r="O23" s="31"/>
      <c r="P23" s="31"/>
    </row>
    <row r="24" spans="2:16" x14ac:dyDescent="0.25">
      <c r="B24" s="32"/>
      <c r="C24" s="32"/>
      <c r="D24" s="32"/>
      <c r="E24" s="32"/>
      <c r="F24" s="32"/>
      <c r="G24" s="32"/>
      <c r="H24" s="32"/>
      <c r="I24" s="32"/>
      <c r="J24" s="32"/>
      <c r="K24" s="32"/>
      <c r="L24" s="31"/>
      <c r="M24" s="31"/>
      <c r="N24" s="31"/>
      <c r="O24" s="31"/>
      <c r="P24" s="31"/>
    </row>
    <row r="25" spans="2:16" x14ac:dyDescent="0.25">
      <c r="B25" s="32"/>
      <c r="C25" s="32"/>
      <c r="D25" s="32"/>
      <c r="E25" s="32"/>
      <c r="F25" s="32"/>
      <c r="G25" s="32"/>
      <c r="H25" s="32"/>
      <c r="I25" s="32"/>
      <c r="J25" s="32"/>
      <c r="K25" s="32"/>
      <c r="L25" s="31"/>
      <c r="M25" s="31"/>
      <c r="N25" s="31"/>
      <c r="O25" s="31"/>
      <c r="P25" s="31"/>
    </row>
    <row r="26" spans="2:16" x14ac:dyDescent="0.25">
      <c r="B26" s="31"/>
      <c r="C26" s="31"/>
      <c r="D26" s="31"/>
      <c r="E26" s="31"/>
      <c r="F26" s="31"/>
      <c r="G26" s="31"/>
      <c r="H26" s="31"/>
      <c r="I26" s="31"/>
      <c r="J26" s="31"/>
      <c r="K26" s="31"/>
      <c r="L26" s="31"/>
      <c r="M26" s="31"/>
      <c r="N26" s="31"/>
      <c r="O26" s="31"/>
      <c r="P26" s="31"/>
    </row>
    <row r="27" spans="2:16" ht="20.25" x14ac:dyDescent="0.3">
      <c r="B27" s="27" t="s">
        <v>122</v>
      </c>
      <c r="C27" s="31"/>
      <c r="D27" s="31"/>
      <c r="E27" s="31"/>
      <c r="F27" s="31"/>
      <c r="G27" s="31"/>
      <c r="H27" s="31"/>
      <c r="I27" s="31"/>
      <c r="J27" s="31"/>
      <c r="K27" s="31"/>
      <c r="L27" s="31"/>
      <c r="M27" s="31"/>
      <c r="N27" s="31"/>
      <c r="O27" s="31"/>
      <c r="P27" s="31"/>
    </row>
    <row r="28" spans="2:16" ht="15" customHeight="1" x14ac:dyDescent="0.25">
      <c r="B28" s="33" t="s">
        <v>123</v>
      </c>
      <c r="C28" s="33"/>
      <c r="D28" s="33"/>
      <c r="E28" s="33"/>
      <c r="F28" s="33"/>
      <c r="G28" s="33"/>
      <c r="H28" s="29"/>
      <c r="I28" s="29"/>
      <c r="J28" s="29"/>
    </row>
    <row r="29" spans="2:16" x14ac:dyDescent="0.25">
      <c r="B29" s="33"/>
      <c r="C29" s="33"/>
      <c r="D29" s="33"/>
      <c r="E29" s="33"/>
      <c r="F29" s="33"/>
      <c r="G29" s="33"/>
      <c r="H29" s="29"/>
      <c r="I29" s="29"/>
      <c r="J29" s="29"/>
    </row>
    <row r="30" spans="2:16" x14ac:dyDescent="0.25">
      <c r="B30" s="33"/>
      <c r="C30" s="33"/>
      <c r="D30" s="33"/>
      <c r="E30" s="33"/>
      <c r="F30" s="33"/>
      <c r="G30" s="33"/>
      <c r="H30" s="29"/>
      <c r="I30" s="29"/>
      <c r="J30" s="29"/>
    </row>
    <row r="31" spans="2:16" x14ac:dyDescent="0.25">
      <c r="B31" s="33"/>
      <c r="C31" s="33"/>
      <c r="D31" s="33"/>
      <c r="E31" s="33"/>
      <c r="F31" s="33"/>
      <c r="G31" s="33"/>
      <c r="H31" s="29"/>
      <c r="I31" s="29"/>
      <c r="J31" s="29"/>
    </row>
    <row r="32" spans="2:16" x14ac:dyDescent="0.25">
      <c r="B32" s="33"/>
      <c r="C32" s="33"/>
      <c r="D32" s="33"/>
      <c r="E32" s="33"/>
      <c r="F32" s="33"/>
      <c r="G32" s="33"/>
      <c r="H32" s="29"/>
      <c r="I32" s="29"/>
      <c r="J32" s="29"/>
    </row>
    <row r="33" spans="2:10" x14ac:dyDescent="0.25">
      <c r="B33" s="33"/>
      <c r="C33" s="33"/>
      <c r="D33" s="33"/>
      <c r="E33" s="33"/>
      <c r="F33" s="33"/>
      <c r="G33" s="33"/>
      <c r="H33" s="29"/>
      <c r="I33" s="29"/>
      <c r="J33" s="29"/>
    </row>
    <row r="34" spans="2:10" x14ac:dyDescent="0.25">
      <c r="B34" s="33"/>
      <c r="C34" s="33"/>
      <c r="D34" s="33"/>
      <c r="E34" s="33"/>
      <c r="F34" s="33"/>
      <c r="G34" s="33"/>
      <c r="H34" s="29"/>
      <c r="I34" s="29"/>
      <c r="J34" s="29"/>
    </row>
    <row r="35" spans="2:10" x14ac:dyDescent="0.25">
      <c r="B35" s="33"/>
      <c r="C35" s="33"/>
      <c r="D35" s="33"/>
      <c r="E35" s="33"/>
      <c r="F35" s="33"/>
      <c r="G35" s="33"/>
      <c r="H35" s="29"/>
      <c r="I35" s="29"/>
      <c r="J35" s="29"/>
    </row>
    <row r="36" spans="2:10" x14ac:dyDescent="0.25">
      <c r="B36" s="33"/>
      <c r="C36" s="33"/>
      <c r="D36" s="33"/>
      <c r="E36" s="33"/>
      <c r="F36" s="33"/>
      <c r="G36" s="33"/>
    </row>
    <row r="38" spans="2:10" ht="20.25" x14ac:dyDescent="0.3">
      <c r="B38" s="27" t="s">
        <v>124</v>
      </c>
    </row>
    <row r="39" spans="2:10" x14ac:dyDescent="0.25">
      <c r="B39" s="34"/>
      <c r="C39" s="34"/>
      <c r="D39" s="34"/>
      <c r="E39" s="34"/>
      <c r="F39" s="34"/>
      <c r="G39" s="34"/>
    </row>
    <row r="40" spans="2:10" x14ac:dyDescent="0.25">
      <c r="B40" s="35" t="s">
        <v>125</v>
      </c>
      <c r="C40" s="35"/>
      <c r="D40" s="35"/>
      <c r="E40" s="35"/>
      <c r="F40" s="36" t="s">
        <v>100</v>
      </c>
      <c r="G40" s="36"/>
    </row>
    <row r="41" spans="2:10" x14ac:dyDescent="0.25">
      <c r="B41" s="35" t="s">
        <v>126</v>
      </c>
      <c r="C41" s="35"/>
      <c r="D41" s="35"/>
      <c r="E41" s="35"/>
      <c r="F41" s="35">
        <v>4.43</v>
      </c>
      <c r="G41" s="35"/>
    </row>
    <row r="42" spans="2:10" x14ac:dyDescent="0.25">
      <c r="B42" s="35" t="s">
        <v>127</v>
      </c>
      <c r="C42" s="35"/>
      <c r="D42" s="35"/>
      <c r="E42" s="35"/>
      <c r="F42" s="35">
        <v>83.85</v>
      </c>
      <c r="G42" s="35"/>
    </row>
    <row r="43" spans="2:10" x14ac:dyDescent="0.25">
      <c r="B43" s="35" t="s">
        <v>128</v>
      </c>
      <c r="C43" s="35"/>
      <c r="D43" s="35"/>
      <c r="E43" s="35"/>
      <c r="F43" s="37">
        <v>36.200000000000003</v>
      </c>
      <c r="G43" s="37"/>
    </row>
    <row r="45" spans="2:10" ht="20.25" x14ac:dyDescent="0.3">
      <c r="B45" s="27" t="s">
        <v>129</v>
      </c>
    </row>
    <row r="46" spans="2:10" x14ac:dyDescent="0.25">
      <c r="B46" s="30" t="s">
        <v>130</v>
      </c>
      <c r="C46" s="30"/>
      <c r="D46" s="30"/>
      <c r="E46" s="30"/>
      <c r="F46" s="30"/>
      <c r="G46" s="30"/>
      <c r="H46" s="30"/>
    </row>
    <row r="47" spans="2:10" x14ac:dyDescent="0.25">
      <c r="B47" s="30"/>
      <c r="C47" s="30"/>
      <c r="D47" s="30"/>
      <c r="E47" s="30"/>
      <c r="F47" s="30"/>
      <c r="G47" s="30"/>
      <c r="H47" s="30"/>
    </row>
    <row r="48" spans="2:10" x14ac:dyDescent="0.25">
      <c r="B48" s="30"/>
      <c r="C48" s="30"/>
      <c r="D48" s="30"/>
      <c r="E48" s="30"/>
      <c r="F48" s="30"/>
      <c r="G48" s="30"/>
      <c r="H48" s="30"/>
    </row>
    <row r="49" spans="2:10" x14ac:dyDescent="0.25">
      <c r="B49" s="30"/>
      <c r="C49" s="30"/>
      <c r="D49" s="30"/>
      <c r="E49" s="30"/>
      <c r="F49" s="30"/>
      <c r="G49" s="30"/>
      <c r="H49" s="30"/>
    </row>
    <row r="50" spans="2:10" x14ac:dyDescent="0.25">
      <c r="B50" s="30"/>
      <c r="C50" s="30"/>
      <c r="D50" s="30"/>
      <c r="E50" s="30"/>
      <c r="F50" s="30"/>
      <c r="G50" s="30"/>
      <c r="H50" s="30"/>
    </row>
    <row r="51" spans="2:10" x14ac:dyDescent="0.25">
      <c r="B51" s="30"/>
      <c r="C51" s="30"/>
      <c r="D51" s="30"/>
      <c r="E51" s="30"/>
      <c r="F51" s="30"/>
      <c r="G51" s="30"/>
      <c r="H51" s="30"/>
    </row>
    <row r="53" spans="2:10" ht="20.25" x14ac:dyDescent="0.3">
      <c r="B53" s="27" t="s">
        <v>131</v>
      </c>
    </row>
    <row r="55" spans="2:10" ht="18.75" x14ac:dyDescent="0.3">
      <c r="B55" s="26" t="s">
        <v>132</v>
      </c>
    </row>
    <row r="56" spans="2:10" ht="18.75" x14ac:dyDescent="0.3">
      <c r="B56" s="26" t="s">
        <v>133</v>
      </c>
    </row>
    <row r="57" spans="2:10" ht="18.75" x14ac:dyDescent="0.3">
      <c r="B57" s="26" t="s">
        <v>134</v>
      </c>
    </row>
    <row r="58" spans="2:10" ht="18.75" x14ac:dyDescent="0.3">
      <c r="B58" s="26" t="s">
        <v>135</v>
      </c>
    </row>
    <row r="60" spans="2:10" ht="15" customHeight="1" x14ac:dyDescent="0.25"/>
    <row r="61" spans="2:10" x14ac:dyDescent="0.25">
      <c r="B61" s="38" t="s">
        <v>136</v>
      </c>
      <c r="C61" s="38"/>
      <c r="D61" s="38"/>
      <c r="E61" s="38"/>
      <c r="F61" s="38"/>
      <c r="G61" s="38"/>
      <c r="H61" s="38"/>
      <c r="I61" s="38"/>
      <c r="J61" s="38"/>
    </row>
    <row r="62" spans="2:10" x14ac:dyDescent="0.25">
      <c r="B62" s="38"/>
      <c r="C62" s="38"/>
      <c r="D62" s="38"/>
      <c r="E62" s="38"/>
      <c r="F62" s="38"/>
      <c r="G62" s="38"/>
      <c r="H62" s="38"/>
      <c r="I62" s="38"/>
      <c r="J62" s="38"/>
    </row>
    <row r="63" spans="2:10" x14ac:dyDescent="0.25">
      <c r="B63" s="38"/>
      <c r="C63" s="38"/>
      <c r="D63" s="38"/>
      <c r="E63" s="38"/>
      <c r="F63" s="38"/>
      <c r="G63" s="38"/>
      <c r="H63" s="38"/>
      <c r="I63" s="38"/>
      <c r="J63" s="38"/>
    </row>
    <row r="64" spans="2:10" x14ac:dyDescent="0.25">
      <c r="B64" s="38"/>
      <c r="C64" s="38"/>
      <c r="D64" s="38"/>
      <c r="E64" s="38"/>
      <c r="F64" s="38"/>
      <c r="G64" s="38"/>
      <c r="H64" s="38"/>
      <c r="I64" s="38"/>
      <c r="J64" s="38"/>
    </row>
    <row r="65" spans="2:10" x14ac:dyDescent="0.25">
      <c r="B65" s="38"/>
      <c r="C65" s="38"/>
      <c r="D65" s="38"/>
      <c r="E65" s="38"/>
      <c r="F65" s="38"/>
      <c r="G65" s="38"/>
      <c r="H65" s="38"/>
      <c r="I65" s="38"/>
      <c r="J65" s="38"/>
    </row>
    <row r="66" spans="2:10" x14ac:dyDescent="0.25">
      <c r="B66" s="38"/>
      <c r="C66" s="38"/>
      <c r="D66" s="38"/>
      <c r="E66" s="38"/>
      <c r="F66" s="38"/>
      <c r="G66" s="38"/>
      <c r="H66" s="38"/>
      <c r="I66" s="38"/>
      <c r="J66" s="38"/>
    </row>
    <row r="67" spans="2:10" x14ac:dyDescent="0.25">
      <c r="B67" s="38"/>
      <c r="C67" s="38"/>
      <c r="D67" s="38"/>
      <c r="E67" s="38"/>
      <c r="F67" s="38"/>
      <c r="G67" s="38"/>
      <c r="H67" s="38"/>
      <c r="I67" s="38"/>
      <c r="J67" s="38"/>
    </row>
    <row r="68" spans="2:10" x14ac:dyDescent="0.25">
      <c r="B68" s="38"/>
      <c r="C68" s="38"/>
      <c r="D68" s="38"/>
      <c r="E68" s="38"/>
      <c r="F68" s="38"/>
      <c r="G68" s="38"/>
      <c r="H68" s="38"/>
      <c r="I68" s="38"/>
      <c r="J68" s="38"/>
    </row>
    <row r="69" spans="2:10" x14ac:dyDescent="0.25">
      <c r="B69" s="38"/>
      <c r="C69" s="38"/>
      <c r="D69" s="38"/>
      <c r="E69" s="38"/>
      <c r="F69" s="38"/>
      <c r="G69" s="38"/>
      <c r="H69" s="38"/>
      <c r="I69" s="38"/>
      <c r="J69" s="38"/>
    </row>
    <row r="70" spans="2:10" x14ac:dyDescent="0.25">
      <c r="B70" s="38"/>
      <c r="C70" s="38"/>
      <c r="D70" s="38"/>
      <c r="E70" s="38"/>
      <c r="F70" s="38"/>
      <c r="G70" s="38"/>
      <c r="H70" s="38"/>
      <c r="I70" s="38"/>
      <c r="J70" s="38"/>
    </row>
  </sheetData>
  <mergeCells count="12">
    <mergeCell ref="B46:H51"/>
    <mergeCell ref="B61:J70"/>
    <mergeCell ref="F42:G42"/>
    <mergeCell ref="F43:G43"/>
    <mergeCell ref="B43:E43"/>
    <mergeCell ref="B42:E42"/>
    <mergeCell ref="B41:E41"/>
    <mergeCell ref="B40:E40"/>
    <mergeCell ref="B13:K25"/>
    <mergeCell ref="B28:G36"/>
    <mergeCell ref="F41:G41"/>
    <mergeCell ref="B39:G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531F-FF33-483C-A631-9B5BFE0EC692}">
  <dimension ref="B2:Y38"/>
  <sheetViews>
    <sheetView workbookViewId="0">
      <selection activeCell="C30" sqref="C30"/>
    </sheetView>
  </sheetViews>
  <sheetFormatPr defaultColWidth="9.140625" defaultRowHeight="15" x14ac:dyDescent="0.25"/>
  <cols>
    <col min="1" max="2" width="9.140625" style="1"/>
    <col min="3" max="3" width="10.42578125" style="1" bestFit="1" customWidth="1"/>
    <col min="4" max="16384" width="9.140625" style="1"/>
  </cols>
  <sheetData>
    <row r="2" spans="2:25" x14ac:dyDescent="0.25">
      <c r="B2" s="1" t="s">
        <v>0</v>
      </c>
      <c r="C2" s="1">
        <v>2021</v>
      </c>
      <c r="D2" s="1">
        <v>2022</v>
      </c>
      <c r="E2" s="1">
        <v>2023</v>
      </c>
      <c r="F2" s="1">
        <v>2024</v>
      </c>
      <c r="G2" s="1">
        <v>2025</v>
      </c>
      <c r="H2" s="1">
        <v>2026</v>
      </c>
      <c r="I2" s="1">
        <v>2027</v>
      </c>
      <c r="J2" s="1">
        <v>2028</v>
      </c>
      <c r="K2" s="1">
        <v>2029</v>
      </c>
      <c r="L2" s="1">
        <v>2030</v>
      </c>
    </row>
    <row r="3" spans="2:25" x14ac:dyDescent="0.25">
      <c r="B3" s="1" t="s">
        <v>1</v>
      </c>
      <c r="C3" s="1" t="s">
        <v>2</v>
      </c>
      <c r="D3" s="1" t="s">
        <v>2</v>
      </c>
      <c r="E3" s="1" t="s">
        <v>2</v>
      </c>
      <c r="F3" s="1" t="s">
        <v>2</v>
      </c>
      <c r="G3" s="1" t="s">
        <v>2</v>
      </c>
      <c r="H3" s="1" t="s">
        <v>3</v>
      </c>
      <c r="I3" s="1" t="s">
        <v>3</v>
      </c>
      <c r="J3" s="1" t="s">
        <v>3</v>
      </c>
      <c r="K3" s="1" t="s">
        <v>3</v>
      </c>
      <c r="L3" s="1" t="s">
        <v>3</v>
      </c>
    </row>
    <row r="6" spans="2:25" x14ac:dyDescent="0.25">
      <c r="B6" s="2" t="s">
        <v>4</v>
      </c>
    </row>
    <row r="7" spans="2:25" x14ac:dyDescent="0.25">
      <c r="B7" s="1" t="s">
        <v>5</v>
      </c>
      <c r="C7" s="3">
        <v>4.2000000000000003E-2</v>
      </c>
    </row>
    <row r="8" spans="2:25" x14ac:dyDescent="0.25">
      <c r="B8" s="1" t="s">
        <v>6</v>
      </c>
      <c r="C8" s="3">
        <v>5.2499999999999998E-2</v>
      </c>
    </row>
    <row r="9" spans="2:25" x14ac:dyDescent="0.25">
      <c r="B9" s="1" t="s">
        <v>7</v>
      </c>
      <c r="C9" s="3">
        <v>0.21</v>
      </c>
    </row>
    <row r="11" spans="2:25" x14ac:dyDescent="0.25">
      <c r="B11" s="1" t="s">
        <v>8</v>
      </c>
      <c r="C11" s="4">
        <v>0.7</v>
      </c>
    </row>
    <row r="12" spans="2:25" x14ac:dyDescent="0.25">
      <c r="B12" s="1" t="s">
        <v>9</v>
      </c>
      <c r="C12" s="5">
        <f>C7 + C11*C8</f>
        <v>7.8750000000000001E-2</v>
      </c>
    </row>
    <row r="13" spans="2:25" x14ac:dyDescent="0.25">
      <c r="Y13" s="1" t="s">
        <v>57</v>
      </c>
    </row>
    <row r="14" spans="2:25" x14ac:dyDescent="0.25">
      <c r="B14" s="1" t="s">
        <v>10</v>
      </c>
      <c r="C14" s="3">
        <v>0.05</v>
      </c>
    </row>
    <row r="15" spans="2:25" x14ac:dyDescent="0.25">
      <c r="B15" s="1" t="s">
        <v>11</v>
      </c>
      <c r="C15" s="3">
        <f>C14*(1-C9)</f>
        <v>3.9500000000000007E-2</v>
      </c>
    </row>
    <row r="17" spans="2:12" x14ac:dyDescent="0.25">
      <c r="B17" s="2" t="s">
        <v>12</v>
      </c>
    </row>
    <row r="18" spans="2:12" x14ac:dyDescent="0.25">
      <c r="B18" s="1" t="s">
        <v>13</v>
      </c>
      <c r="C18" s="6">
        <v>0.6</v>
      </c>
    </row>
    <row r="19" spans="2:12" x14ac:dyDescent="0.25">
      <c r="B19" s="1" t="s">
        <v>14</v>
      </c>
      <c r="C19" s="6">
        <v>0.4</v>
      </c>
    </row>
    <row r="21" spans="2:12" x14ac:dyDescent="0.25">
      <c r="B21" s="2" t="s">
        <v>15</v>
      </c>
      <c r="C21" s="7">
        <f>C18*C12 + C19*C15</f>
        <v>6.3050000000000009E-2</v>
      </c>
    </row>
    <row r="23" spans="2:12" x14ac:dyDescent="0.25">
      <c r="B23" s="2" t="s">
        <v>16</v>
      </c>
    </row>
    <row r="24" spans="2:12" x14ac:dyDescent="0.25">
      <c r="B24" s="1" t="s">
        <v>17</v>
      </c>
      <c r="C24" s="3">
        <v>3.2500000000000001E-2</v>
      </c>
    </row>
    <row r="25" spans="2:12" x14ac:dyDescent="0.25">
      <c r="B25" s="1" t="s">
        <v>18</v>
      </c>
      <c r="C25" s="3">
        <v>4.2500000000000003E-2</v>
      </c>
    </row>
    <row r="26" spans="2:12" x14ac:dyDescent="0.25">
      <c r="B26" s="1" t="s">
        <v>19</v>
      </c>
      <c r="C26" s="3">
        <f>C25*(1-C9)</f>
        <v>3.3575000000000001E-2</v>
      </c>
    </row>
    <row r="27" spans="2:12" x14ac:dyDescent="0.25">
      <c r="B27" s="1" t="s">
        <v>53</v>
      </c>
      <c r="C27" s="3">
        <v>2.5000000000000001E-2</v>
      </c>
    </row>
    <row r="28" spans="2:12" x14ac:dyDescent="0.25">
      <c r="B28" s="1" t="s">
        <v>20</v>
      </c>
      <c r="C28" s="3">
        <f>C24 + C11*C8</f>
        <v>6.9250000000000006E-2</v>
      </c>
    </row>
    <row r="30" spans="2:12" x14ac:dyDescent="0.25">
      <c r="B30" s="2" t="s">
        <v>21</v>
      </c>
      <c r="C30" s="3">
        <f>C18*C28 + C19*C26</f>
        <v>5.4980000000000001E-2</v>
      </c>
    </row>
    <row r="32" spans="2:12" x14ac:dyDescent="0.25">
      <c r="B32" s="2" t="s">
        <v>22</v>
      </c>
      <c r="C32" s="1">
        <f>C2</f>
        <v>2021</v>
      </c>
      <c r="D32" s="1">
        <f t="shared" ref="D32:L32" si="0">D2</f>
        <v>2022</v>
      </c>
      <c r="E32" s="1">
        <f t="shared" si="0"/>
        <v>2023</v>
      </c>
      <c r="F32" s="1">
        <f t="shared" si="0"/>
        <v>2024</v>
      </c>
      <c r="G32" s="1">
        <f t="shared" si="0"/>
        <v>2025</v>
      </c>
      <c r="H32" s="1">
        <f t="shared" si="0"/>
        <v>2026</v>
      </c>
      <c r="I32" s="1">
        <f t="shared" si="0"/>
        <v>2027</v>
      </c>
      <c r="J32" s="1">
        <f t="shared" si="0"/>
        <v>2028</v>
      </c>
      <c r="K32" s="1">
        <f t="shared" si="0"/>
        <v>2029</v>
      </c>
      <c r="L32" s="1">
        <f t="shared" si="0"/>
        <v>2030</v>
      </c>
    </row>
    <row r="33" spans="2:12" x14ac:dyDescent="0.25">
      <c r="B33" s="1" t="s">
        <v>23</v>
      </c>
      <c r="C33" s="6">
        <v>1</v>
      </c>
      <c r="D33" s="6">
        <v>1</v>
      </c>
      <c r="E33" s="6">
        <v>1</v>
      </c>
      <c r="F33" s="6">
        <v>1</v>
      </c>
      <c r="G33" s="6">
        <v>1</v>
      </c>
      <c r="H33" s="6">
        <v>0.9</v>
      </c>
      <c r="I33" s="6">
        <v>0.7</v>
      </c>
      <c r="J33" s="6">
        <v>0.5</v>
      </c>
      <c r="K33" s="6">
        <v>0.3</v>
      </c>
      <c r="L33" s="6">
        <v>0.1</v>
      </c>
    </row>
    <row r="34" spans="2:12" x14ac:dyDescent="0.25">
      <c r="B34" s="1" t="s">
        <v>24</v>
      </c>
      <c r="C34" s="6">
        <f>1-C33</f>
        <v>0</v>
      </c>
      <c r="D34" s="6">
        <f t="shared" ref="D34:L34" si="1">1-D33</f>
        <v>0</v>
      </c>
      <c r="E34" s="6">
        <f t="shared" si="1"/>
        <v>0</v>
      </c>
      <c r="F34" s="6">
        <f t="shared" si="1"/>
        <v>0</v>
      </c>
      <c r="G34" s="6">
        <f t="shared" si="1"/>
        <v>0</v>
      </c>
      <c r="H34" s="6">
        <f t="shared" si="1"/>
        <v>9.9999999999999978E-2</v>
      </c>
      <c r="I34" s="6">
        <f t="shared" si="1"/>
        <v>0.30000000000000004</v>
      </c>
      <c r="J34" s="6">
        <f t="shared" si="1"/>
        <v>0.5</v>
      </c>
      <c r="K34" s="6">
        <f t="shared" si="1"/>
        <v>0.7</v>
      </c>
      <c r="L34" s="6">
        <f t="shared" si="1"/>
        <v>0.9</v>
      </c>
    </row>
    <row r="36" spans="2:12" x14ac:dyDescent="0.25">
      <c r="B36" s="2" t="s">
        <v>25</v>
      </c>
      <c r="C36" s="3">
        <f>C33*$C$21 + C34*$C$30</f>
        <v>6.3050000000000009E-2</v>
      </c>
      <c r="D36" s="3">
        <f t="shared" ref="D36:L36" si="2">D33*$C$21 + D34*$C$30</f>
        <v>6.3050000000000009E-2</v>
      </c>
      <c r="E36" s="3">
        <f t="shared" si="2"/>
        <v>6.3050000000000009E-2</v>
      </c>
      <c r="F36" s="3">
        <f t="shared" si="2"/>
        <v>6.3050000000000009E-2</v>
      </c>
      <c r="G36" s="3">
        <f t="shared" si="2"/>
        <v>6.3050000000000009E-2</v>
      </c>
      <c r="H36" s="3">
        <f t="shared" si="2"/>
        <v>6.2243000000000007E-2</v>
      </c>
      <c r="I36" s="3">
        <f t="shared" si="2"/>
        <v>6.0629000000000002E-2</v>
      </c>
      <c r="J36" s="3">
        <f t="shared" si="2"/>
        <v>5.9015000000000005E-2</v>
      </c>
      <c r="K36" s="3">
        <f t="shared" si="2"/>
        <v>5.7401000000000001E-2</v>
      </c>
      <c r="L36" s="3">
        <f t="shared" si="2"/>
        <v>5.5787000000000003E-2</v>
      </c>
    </row>
    <row r="38" spans="2:12" x14ac:dyDescent="0.25">
      <c r="B38" s="2" t="s">
        <v>58</v>
      </c>
      <c r="C38" s="3">
        <v>0.105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7D84-AF0F-4C07-9625-74C9A242D847}">
  <dimension ref="A1:G23"/>
  <sheetViews>
    <sheetView tabSelected="1" workbookViewId="0">
      <selection activeCell="B14" sqref="B14"/>
    </sheetView>
  </sheetViews>
  <sheetFormatPr defaultRowHeight="15" x14ac:dyDescent="0.25"/>
  <sheetData>
    <row r="1" spans="1:7" x14ac:dyDescent="0.25">
      <c r="A1" s="1"/>
      <c r="B1" s="1"/>
      <c r="C1" s="1"/>
      <c r="D1" s="1"/>
      <c r="E1" s="1"/>
      <c r="F1" s="1"/>
      <c r="G1" s="1"/>
    </row>
    <row r="2" spans="1:7" x14ac:dyDescent="0.25">
      <c r="A2" s="1"/>
      <c r="B2" s="2" t="s">
        <v>27</v>
      </c>
      <c r="C2" s="15">
        <v>2021</v>
      </c>
      <c r="D2" s="15">
        <v>2022</v>
      </c>
      <c r="E2" s="15">
        <v>2023</v>
      </c>
      <c r="F2" s="15">
        <v>2024</v>
      </c>
      <c r="G2" s="1"/>
    </row>
    <row r="3" spans="1:7" x14ac:dyDescent="0.25">
      <c r="A3" s="1"/>
      <c r="B3" s="2" t="s">
        <v>1</v>
      </c>
      <c r="C3" s="14" t="s">
        <v>60</v>
      </c>
      <c r="D3" s="14" t="s">
        <v>60</v>
      </c>
      <c r="E3" s="14" t="s">
        <v>60</v>
      </c>
      <c r="F3" s="14" t="s">
        <v>60</v>
      </c>
      <c r="G3" s="1"/>
    </row>
    <row r="4" spans="1:7" x14ac:dyDescent="0.25">
      <c r="A4" s="1"/>
      <c r="B4" s="2"/>
      <c r="C4" s="14"/>
      <c r="D4" s="14"/>
      <c r="E4" s="14"/>
      <c r="F4" s="14"/>
      <c r="G4" s="1"/>
    </row>
    <row r="5" spans="1:7" x14ac:dyDescent="0.25">
      <c r="A5" s="1"/>
      <c r="B5" s="2" t="s">
        <v>61</v>
      </c>
      <c r="C5" s="14">
        <v>17.100000000000001</v>
      </c>
      <c r="D5" s="14">
        <v>21</v>
      </c>
      <c r="E5" s="14">
        <v>28.1</v>
      </c>
      <c r="F5" s="14">
        <v>24.8</v>
      </c>
      <c r="G5" s="1"/>
    </row>
    <row r="6" spans="1:7" x14ac:dyDescent="0.25">
      <c r="A6" s="1"/>
      <c r="B6" s="2" t="s">
        <v>62</v>
      </c>
      <c r="C6" s="14" t="s">
        <v>49</v>
      </c>
      <c r="D6" s="17">
        <f>D5/C5-1</f>
        <v>0.22807017543859631</v>
      </c>
      <c r="E6" s="17">
        <f t="shared" ref="E6:F6" si="0">E5/D5-1</f>
        <v>0.33809523809523823</v>
      </c>
      <c r="F6" s="17">
        <f t="shared" si="0"/>
        <v>-0.11743772241992889</v>
      </c>
      <c r="G6" s="1"/>
    </row>
    <row r="7" spans="1:7" x14ac:dyDescent="0.25">
      <c r="A7" s="1"/>
      <c r="B7" s="2"/>
      <c r="C7" s="14"/>
      <c r="D7" s="14"/>
      <c r="E7" s="14"/>
      <c r="F7" s="14"/>
      <c r="G7" s="1"/>
    </row>
    <row r="8" spans="1:7" x14ac:dyDescent="0.25">
      <c r="A8" s="1"/>
      <c r="B8" s="2" t="s">
        <v>34</v>
      </c>
      <c r="C8" s="14">
        <v>4.45</v>
      </c>
      <c r="D8" s="14">
        <v>4.42</v>
      </c>
      <c r="E8" s="14">
        <v>10.61</v>
      </c>
      <c r="F8" s="14">
        <v>8.27</v>
      </c>
      <c r="G8" s="1"/>
    </row>
    <row r="9" spans="1:7" x14ac:dyDescent="0.25">
      <c r="A9" s="1"/>
      <c r="B9" s="2" t="s">
        <v>63</v>
      </c>
      <c r="C9" s="17">
        <f>C8/C5</f>
        <v>0.26023391812865498</v>
      </c>
      <c r="D9" s="17">
        <f t="shared" ref="D9:F9" si="1">D8/D5</f>
        <v>0.21047619047619048</v>
      </c>
      <c r="E9" s="17">
        <f t="shared" si="1"/>
        <v>0.3775800711743772</v>
      </c>
      <c r="F9" s="17">
        <f t="shared" si="1"/>
        <v>0.33346774193548384</v>
      </c>
      <c r="G9" s="1"/>
    </row>
    <row r="10" spans="1:7" x14ac:dyDescent="0.25">
      <c r="A10" s="1"/>
      <c r="B10" s="2"/>
      <c r="C10" s="14"/>
      <c r="D10" s="14"/>
      <c r="E10" s="14"/>
      <c r="F10" s="14"/>
      <c r="G10" s="1"/>
    </row>
    <row r="11" spans="1:7" x14ac:dyDescent="0.25">
      <c r="A11" s="1"/>
      <c r="B11" s="2" t="s">
        <v>44</v>
      </c>
      <c r="C11" s="14">
        <v>4.21</v>
      </c>
      <c r="D11" s="14">
        <v>4.79</v>
      </c>
      <c r="E11" s="14">
        <v>6.15</v>
      </c>
      <c r="F11" s="14">
        <v>5.76</v>
      </c>
      <c r="G11" s="1"/>
    </row>
    <row r="12" spans="1:7" x14ac:dyDescent="0.25">
      <c r="A12" s="1"/>
      <c r="B12" s="2" t="s">
        <v>64</v>
      </c>
      <c r="C12" s="16">
        <f>C11/C5</f>
        <v>0.24619883040935669</v>
      </c>
      <c r="D12" s="16">
        <f t="shared" ref="D12:F12" si="2">D11/D5</f>
        <v>0.2280952380952381</v>
      </c>
      <c r="E12" s="16">
        <f t="shared" si="2"/>
        <v>0.2188612099644128</v>
      </c>
      <c r="F12" s="16">
        <f t="shared" si="2"/>
        <v>0.23225806451612901</v>
      </c>
      <c r="G12" s="1"/>
    </row>
    <row r="13" spans="1:7" x14ac:dyDescent="0.25">
      <c r="A13" s="1"/>
      <c r="B13" s="2"/>
      <c r="C13" s="14"/>
      <c r="D13" s="14"/>
      <c r="E13" s="14"/>
      <c r="F13" s="14"/>
      <c r="G13" s="1"/>
    </row>
    <row r="14" spans="1:7" x14ac:dyDescent="0.25">
      <c r="A14" s="1"/>
      <c r="B14" s="2" t="s">
        <v>45</v>
      </c>
      <c r="C14" s="14">
        <v>7.83</v>
      </c>
      <c r="D14" s="14">
        <v>9.74</v>
      </c>
      <c r="E14" s="14">
        <v>9.5500000000000007</v>
      </c>
      <c r="F14" s="14">
        <v>8.51</v>
      </c>
      <c r="G14" s="1"/>
    </row>
    <row r="15" spans="1:7" x14ac:dyDescent="0.25">
      <c r="A15" s="1"/>
      <c r="B15" s="2" t="s">
        <v>65</v>
      </c>
      <c r="C15" s="17">
        <f>C14/C5</f>
        <v>0.45789473684210524</v>
      </c>
      <c r="D15" s="17">
        <f t="shared" ref="D15:F15" si="3">D14/D5</f>
        <v>0.46380952380952384</v>
      </c>
      <c r="E15" s="17">
        <f t="shared" si="3"/>
        <v>0.33985765124555162</v>
      </c>
      <c r="F15" s="17">
        <f t="shared" si="3"/>
        <v>0.34314516129032258</v>
      </c>
      <c r="G15" s="1"/>
    </row>
    <row r="16" spans="1:7" x14ac:dyDescent="0.25">
      <c r="A16" s="1"/>
      <c r="B16" s="2"/>
      <c r="C16" s="14"/>
      <c r="D16" s="14"/>
      <c r="E16" s="14"/>
      <c r="F16" s="14"/>
      <c r="G16" s="1"/>
    </row>
    <row r="17" spans="1:7" x14ac:dyDescent="0.25">
      <c r="A17" s="1"/>
      <c r="B17" s="2" t="s">
        <v>46</v>
      </c>
      <c r="C17" s="14" t="s">
        <v>49</v>
      </c>
      <c r="D17" s="14">
        <v>-5.0599999999999996</v>
      </c>
      <c r="E17" s="18">
        <v>0.6</v>
      </c>
      <c r="F17" s="18">
        <v>-0.8</v>
      </c>
      <c r="G17" s="1"/>
    </row>
    <row r="18" spans="1:7" x14ac:dyDescent="0.25">
      <c r="A18" s="1"/>
      <c r="B18" s="2" t="s">
        <v>66</v>
      </c>
      <c r="C18" s="14" t="s">
        <v>49</v>
      </c>
      <c r="D18" s="17">
        <f>D17/D5</f>
        <v>-0.24095238095238095</v>
      </c>
      <c r="E18" s="17">
        <f t="shared" ref="E18:F18" si="4">E17/E5</f>
        <v>2.1352313167259784E-2</v>
      </c>
      <c r="F18" s="17">
        <f t="shared" si="4"/>
        <v>-3.2258064516129031E-2</v>
      </c>
      <c r="G18" s="1"/>
    </row>
    <row r="19" spans="1:7" x14ac:dyDescent="0.25">
      <c r="A19" s="1"/>
      <c r="G19" s="1"/>
    </row>
    <row r="20" spans="1:7" x14ac:dyDescent="0.25">
      <c r="A20" s="1"/>
      <c r="B20" s="1"/>
      <c r="C20" s="14"/>
      <c r="D20" s="14"/>
      <c r="E20" s="14"/>
      <c r="F20" s="14"/>
      <c r="G20" s="1"/>
    </row>
    <row r="21" spans="1:7" x14ac:dyDescent="0.25">
      <c r="A21" s="1"/>
      <c r="B21" s="1"/>
      <c r="C21" s="1"/>
      <c r="D21" s="1"/>
      <c r="E21" s="1"/>
      <c r="F21" s="1"/>
      <c r="G21" s="1"/>
    </row>
    <row r="22" spans="1:7" x14ac:dyDescent="0.25">
      <c r="A22" s="1"/>
      <c r="B22" s="1"/>
      <c r="C22" s="1"/>
      <c r="D22" s="1"/>
      <c r="E22" s="1"/>
      <c r="F22" s="1"/>
      <c r="G22" s="1"/>
    </row>
    <row r="23" spans="1:7" x14ac:dyDescent="0.25">
      <c r="A23" s="1"/>
      <c r="B23" s="1"/>
      <c r="C23" s="1"/>
      <c r="D23" s="1"/>
      <c r="E23" s="1"/>
      <c r="F23" s="1"/>
      <c r="G2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2C48-8539-4F02-9CEB-B4692AAC018B}">
  <dimension ref="B2:L11"/>
  <sheetViews>
    <sheetView workbookViewId="0">
      <selection activeCell="F12" sqref="F12"/>
    </sheetView>
  </sheetViews>
  <sheetFormatPr defaultColWidth="9.140625" defaultRowHeight="15" x14ac:dyDescent="0.25"/>
  <cols>
    <col min="1" max="2" width="9.140625" style="1"/>
    <col min="3" max="3" width="9.5703125" style="1" bestFit="1" customWidth="1"/>
    <col min="4" max="16384" width="9.140625" style="1"/>
  </cols>
  <sheetData>
    <row r="2" spans="2:12" x14ac:dyDescent="0.25">
      <c r="B2" s="2" t="s">
        <v>30</v>
      </c>
      <c r="C2" s="14"/>
      <c r="D2" s="14"/>
      <c r="E2" s="14"/>
      <c r="F2" s="14"/>
      <c r="G2" s="14"/>
      <c r="H2" s="14"/>
      <c r="I2" s="14"/>
      <c r="J2" s="14"/>
      <c r="K2" s="14"/>
      <c r="L2" s="14"/>
    </row>
    <row r="3" spans="2:12" x14ac:dyDescent="0.25">
      <c r="C3" s="15">
        <v>2021</v>
      </c>
      <c r="D3" s="15">
        <v>2022</v>
      </c>
      <c r="E3" s="15">
        <v>2023</v>
      </c>
      <c r="F3" s="15">
        <v>2024</v>
      </c>
      <c r="G3" s="15">
        <v>2025</v>
      </c>
      <c r="H3" s="15">
        <v>2026</v>
      </c>
      <c r="I3" s="15">
        <v>2027</v>
      </c>
      <c r="J3" s="15">
        <v>2028</v>
      </c>
      <c r="K3" s="15">
        <v>2029</v>
      </c>
      <c r="L3" s="15">
        <v>2030</v>
      </c>
    </row>
    <row r="4" spans="2:12" x14ac:dyDescent="0.25">
      <c r="B4" s="2" t="s">
        <v>34</v>
      </c>
      <c r="C4" s="19">
        <f xml:space="preserve"> FinStatements!C9</f>
        <v>4.1040000000000001</v>
      </c>
      <c r="D4" s="19">
        <f xml:space="preserve"> FinStatements!D9</f>
        <v>5.2249999999999996</v>
      </c>
      <c r="E4" s="19">
        <f xml:space="preserve"> FinStatements!E9</f>
        <v>5.6355000000000004</v>
      </c>
      <c r="F4" s="19">
        <f xml:space="preserve"> FinStatements!F9</f>
        <v>6.5</v>
      </c>
      <c r="G4" s="19">
        <f xml:space="preserve"> FinStatements!G9</f>
        <v>6.9695000000000009</v>
      </c>
      <c r="H4" s="19">
        <f xml:space="preserve"> FinStatements!H9</f>
        <v>7.3876700000000017</v>
      </c>
      <c r="I4" s="19">
        <f xml:space="preserve"> FinStatements!I9</f>
        <v>7.7939918500000003</v>
      </c>
      <c r="J4" s="19">
        <f xml:space="preserve"> FinStatements!J9</f>
        <v>8.1836914425000007</v>
      </c>
      <c r="K4" s="19">
        <f xml:space="preserve"> FinStatements!K9</f>
        <v>8.5519575574125</v>
      </c>
      <c r="L4" s="19">
        <f xml:space="preserve"> FinStatements!L9</f>
        <v>8.8940358597089997</v>
      </c>
    </row>
    <row r="5" spans="2:12" x14ac:dyDescent="0.25">
      <c r="B5" s="2" t="s">
        <v>35</v>
      </c>
      <c r="C5" s="18">
        <f xml:space="preserve"> C4 * Assumptions!$C$9</f>
        <v>0.86183999999999994</v>
      </c>
      <c r="D5" s="18">
        <f xml:space="preserve"> D4 * Assumptions!$C$9</f>
        <v>1.0972499999999998</v>
      </c>
      <c r="E5" s="18">
        <f xml:space="preserve"> E4 * Assumptions!$C$9</f>
        <v>1.1834550000000001</v>
      </c>
      <c r="F5" s="18">
        <f xml:space="preserve"> F4 * Assumptions!$C$9</f>
        <v>1.365</v>
      </c>
      <c r="G5" s="18">
        <f xml:space="preserve"> G4 * Assumptions!$C$9</f>
        <v>1.4635950000000002</v>
      </c>
      <c r="H5" s="18">
        <f xml:space="preserve"> H4 * Assumptions!$C$9</f>
        <v>1.5514107000000004</v>
      </c>
      <c r="I5" s="18">
        <f xml:space="preserve"> I4 * Assumptions!$C$9</f>
        <v>1.6367382884999999</v>
      </c>
      <c r="J5" s="18">
        <f xml:space="preserve"> J4 * Assumptions!$C$9</f>
        <v>1.7185752029250001</v>
      </c>
      <c r="K5" s="18">
        <f xml:space="preserve"> K4 * Assumptions!$C$9</f>
        <v>1.7959110870566248</v>
      </c>
      <c r="L5" s="18">
        <f xml:space="preserve"> L4 * Assumptions!$C$9</f>
        <v>1.8677475305388898</v>
      </c>
    </row>
    <row r="6" spans="2:12" x14ac:dyDescent="0.25">
      <c r="B6" s="2" t="s">
        <v>36</v>
      </c>
      <c r="C6" s="18">
        <f xml:space="preserve"> C4 - C5</f>
        <v>3.2421600000000002</v>
      </c>
      <c r="D6" s="18">
        <f t="shared" ref="D6:L6" si="0" xml:space="preserve"> D4 - D5</f>
        <v>4.1277499999999998</v>
      </c>
      <c r="E6" s="18">
        <f t="shared" si="0"/>
        <v>4.452045</v>
      </c>
      <c r="F6" s="18">
        <f t="shared" si="0"/>
        <v>5.1349999999999998</v>
      </c>
      <c r="G6" s="18">
        <f t="shared" si="0"/>
        <v>5.5059050000000003</v>
      </c>
      <c r="H6" s="18">
        <f t="shared" si="0"/>
        <v>5.8362593000000018</v>
      </c>
      <c r="I6" s="18">
        <f t="shared" si="0"/>
        <v>6.1572535615000001</v>
      </c>
      <c r="J6" s="18">
        <f t="shared" si="0"/>
        <v>6.4651162395750008</v>
      </c>
      <c r="K6" s="18">
        <f t="shared" si="0"/>
        <v>6.7560464703558747</v>
      </c>
      <c r="L6" s="18">
        <f t="shared" si="0"/>
        <v>7.0262883291701099</v>
      </c>
    </row>
    <row r="7" spans="2:12" x14ac:dyDescent="0.25">
      <c r="B7" s="2" t="s">
        <v>37</v>
      </c>
      <c r="C7" s="14">
        <f xml:space="preserve"> FinStatements!C13</f>
        <v>1.7100000000000002</v>
      </c>
      <c r="D7" s="14">
        <f xml:space="preserve"> FinStatements!D13</f>
        <v>2.09</v>
      </c>
      <c r="E7" s="14">
        <f xml:space="preserve"> FinStatements!E13</f>
        <v>2.2100000000000004</v>
      </c>
      <c r="F7" s="14">
        <f xml:space="preserve"> FinStatements!F13</f>
        <v>2.5</v>
      </c>
      <c r="G7" s="14">
        <f xml:space="preserve"> FinStatements!G13</f>
        <v>2.6300000000000003</v>
      </c>
      <c r="H7" s="18">
        <f xml:space="preserve"> FinStatements!H13</f>
        <v>2.7878000000000007</v>
      </c>
      <c r="I7" s="18">
        <f xml:space="preserve"> FinStatements!I13</f>
        <v>2.9411290000000001</v>
      </c>
      <c r="J7" s="18">
        <f xml:space="preserve"> FinStatements!J13</f>
        <v>3.0881854500000006</v>
      </c>
      <c r="K7" s="18">
        <f xml:space="preserve"> FinStatements!K13</f>
        <v>3.22715379525</v>
      </c>
      <c r="L7" s="18">
        <f xml:space="preserve"> FinStatements!L13</f>
        <v>3.3562399470600002</v>
      </c>
    </row>
    <row r="8" spans="2:12" x14ac:dyDescent="0.25">
      <c r="B8" s="2" t="s">
        <v>38</v>
      </c>
      <c r="C8" s="19">
        <f xml:space="preserve"> FinStatements!C15</f>
        <v>3.0780000000000003</v>
      </c>
      <c r="D8" s="19">
        <f xml:space="preserve"> FinStatements!D15</f>
        <v>3.9709999999999996</v>
      </c>
      <c r="E8" s="19">
        <f xml:space="preserve"> FinStatements!E15</f>
        <v>4.4200000000000008</v>
      </c>
      <c r="F8" s="19">
        <f xml:space="preserve"> FinStatements!F15</f>
        <v>5.25</v>
      </c>
      <c r="G8" s="19">
        <f xml:space="preserve"> FinStatements!G15</f>
        <v>5.7860000000000005</v>
      </c>
      <c r="H8" s="19">
        <f xml:space="preserve"> FinStatements!H15</f>
        <v>6.1331600000000011</v>
      </c>
      <c r="I8" s="19">
        <f xml:space="preserve"> FinStatements!I15</f>
        <v>6.4704838000000002</v>
      </c>
      <c r="J8" s="19">
        <f xml:space="preserve"> FinStatements!J15</f>
        <v>6.7940079900000008</v>
      </c>
      <c r="K8" s="19">
        <f xml:space="preserve"> FinStatements!K15</f>
        <v>7.0997383495499991</v>
      </c>
      <c r="L8" s="19">
        <f xml:space="preserve"> FinStatements!L15</f>
        <v>7.3837278835319999</v>
      </c>
    </row>
    <row r="9" spans="2:12" x14ac:dyDescent="0.25">
      <c r="B9" s="2" t="s">
        <v>39</v>
      </c>
      <c r="C9" s="18">
        <f xml:space="preserve"> FinStatements!C17</f>
        <v>8.5500000000000007E-2</v>
      </c>
      <c r="D9" s="18">
        <f xml:space="preserve"> FinStatements!D17</f>
        <v>0.1045</v>
      </c>
      <c r="E9" s="18">
        <f xml:space="preserve"> FinStatements!E17</f>
        <v>0.11050000000000001</v>
      </c>
      <c r="F9" s="18">
        <f xml:space="preserve"> FinStatements!F17</f>
        <v>0.125</v>
      </c>
      <c r="G9" s="18">
        <f xml:space="preserve"> FinStatements!G17</f>
        <v>0.13150000000000001</v>
      </c>
      <c r="H9" s="18">
        <f xml:space="preserve"> FinStatements!H17</f>
        <v>0.13939000000000001</v>
      </c>
      <c r="I9" s="18">
        <f xml:space="preserve"> FinStatements!I17</f>
        <v>0.14705645000000001</v>
      </c>
      <c r="J9" s="18">
        <f xml:space="preserve"> FinStatements!J17</f>
        <v>0.15440927250000003</v>
      </c>
      <c r="K9" s="18">
        <f xml:space="preserve"> FinStatements!K17</f>
        <v>0.16135768976249998</v>
      </c>
      <c r="L9" s="18">
        <f xml:space="preserve"> FinStatements!L17</f>
        <v>0.16781199735300001</v>
      </c>
    </row>
    <row r="10" spans="2:12" x14ac:dyDescent="0.25">
      <c r="B10" s="2" t="s">
        <v>30</v>
      </c>
      <c r="C10" s="18">
        <f xml:space="preserve"> C6 + C7 - C8 - C9</f>
        <v>1.7886599999999999</v>
      </c>
      <c r="D10" s="18">
        <f t="shared" ref="D10:L10" si="1" xml:space="preserve"> D6 + D7 - D8 - D9</f>
        <v>2.1422500000000002</v>
      </c>
      <c r="E10" s="18">
        <f t="shared" si="1"/>
        <v>2.131545</v>
      </c>
      <c r="F10" s="18">
        <f t="shared" si="1"/>
        <v>2.2599999999999998</v>
      </c>
      <c r="G10" s="18">
        <f t="shared" si="1"/>
        <v>2.2184050000000006</v>
      </c>
      <c r="H10" s="18">
        <f t="shared" si="1"/>
        <v>2.3515093000000014</v>
      </c>
      <c r="I10" s="18">
        <f t="shared" si="1"/>
        <v>2.4808423114999991</v>
      </c>
      <c r="J10" s="18">
        <f t="shared" si="1"/>
        <v>2.604884427075</v>
      </c>
      <c r="K10" s="18">
        <f t="shared" si="1"/>
        <v>2.7221042262933759</v>
      </c>
      <c r="L10" s="18">
        <f t="shared" si="1"/>
        <v>2.8309883953451096</v>
      </c>
    </row>
    <row r="11" spans="2:12" x14ac:dyDescent="0.25">
      <c r="C11" s="18"/>
      <c r="D11" s="18"/>
      <c r="E11" s="18"/>
      <c r="F11" s="18"/>
      <c r="G11" s="18"/>
      <c r="H11" s="18"/>
      <c r="I11" s="18"/>
      <c r="J11" s="18"/>
      <c r="K11" s="18"/>
      <c r="L11"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2FA9-12FC-4FBB-8727-F79017C9BEDA}">
  <dimension ref="B2:L18"/>
  <sheetViews>
    <sheetView workbookViewId="0">
      <selection activeCell="N6" sqref="N6"/>
    </sheetView>
  </sheetViews>
  <sheetFormatPr defaultColWidth="9.140625" defaultRowHeight="15" x14ac:dyDescent="0.25"/>
  <cols>
    <col min="1" max="4" width="9.140625" style="1"/>
    <col min="5" max="5" width="9.42578125" style="1" bestFit="1" customWidth="1"/>
    <col min="6" max="16384" width="9.140625" style="1"/>
  </cols>
  <sheetData>
    <row r="2" spans="2:12" x14ac:dyDescent="0.25">
      <c r="B2" s="2" t="s">
        <v>40</v>
      </c>
    </row>
    <row r="4" spans="2:12" x14ac:dyDescent="0.25">
      <c r="B4" s="2" t="s">
        <v>27</v>
      </c>
      <c r="C4" s="2">
        <f>Assumptions!C2</f>
        <v>2021</v>
      </c>
      <c r="D4" s="2">
        <f>Assumptions!D2</f>
        <v>2022</v>
      </c>
      <c r="E4" s="2">
        <f>Assumptions!E2</f>
        <v>2023</v>
      </c>
      <c r="F4" s="2">
        <f>Assumptions!F2</f>
        <v>2024</v>
      </c>
      <c r="G4" s="2">
        <f>Assumptions!G2</f>
        <v>2025</v>
      </c>
      <c r="H4" s="2">
        <f>Assumptions!H2</f>
        <v>2026</v>
      </c>
      <c r="I4" s="2">
        <f>Assumptions!I2</f>
        <v>2027</v>
      </c>
      <c r="J4" s="2">
        <f>Assumptions!J2</f>
        <v>2028</v>
      </c>
      <c r="K4" s="2">
        <f>Assumptions!K2</f>
        <v>2029</v>
      </c>
      <c r="L4" s="2">
        <f>Assumptions!L2</f>
        <v>2030</v>
      </c>
    </row>
    <row r="5" spans="2:12" x14ac:dyDescent="0.25">
      <c r="B5" s="20" t="s">
        <v>47</v>
      </c>
    </row>
    <row r="6" spans="2:12" x14ac:dyDescent="0.25">
      <c r="B6" s="2" t="s">
        <v>41</v>
      </c>
      <c r="C6" s="1">
        <v>17.100000000000001</v>
      </c>
      <c r="D6" s="1">
        <v>20.9</v>
      </c>
      <c r="E6" s="1">
        <v>22.1</v>
      </c>
      <c r="F6" s="8">
        <v>25</v>
      </c>
      <c r="G6" s="1">
        <v>26.3</v>
      </c>
      <c r="H6" s="8">
        <f>G6*(1+H8)</f>
        <v>27.878000000000004</v>
      </c>
      <c r="I6" s="8">
        <f t="shared" ref="I6:L6" si="0">H6*(1+I8)</f>
        <v>29.411290000000001</v>
      </c>
      <c r="J6" s="8">
        <f t="shared" si="0"/>
        <v>30.881854500000003</v>
      </c>
      <c r="K6" s="8">
        <f t="shared" si="0"/>
        <v>32.271537952499997</v>
      </c>
      <c r="L6" s="8">
        <f t="shared" si="0"/>
        <v>33.562399470599999</v>
      </c>
    </row>
    <row r="7" spans="2:12" x14ac:dyDescent="0.25">
      <c r="B7" s="2" t="s">
        <v>42</v>
      </c>
      <c r="C7" s="10" t="s">
        <v>49</v>
      </c>
      <c r="D7" s="12">
        <f>D6/C6-1</f>
        <v>0.2222222222222221</v>
      </c>
      <c r="E7" s="12">
        <f t="shared" ref="E7:G7" si="1">E6/D6-1</f>
        <v>5.741626794258381E-2</v>
      </c>
      <c r="F7" s="12">
        <f t="shared" si="1"/>
        <v>0.13122171945701355</v>
      </c>
      <c r="G7" s="12">
        <f t="shared" si="1"/>
        <v>5.2000000000000046E-2</v>
      </c>
    </row>
    <row r="8" spans="2:12" x14ac:dyDescent="0.25">
      <c r="B8" s="20" t="s">
        <v>48</v>
      </c>
      <c r="H8" s="11">
        <v>0.06</v>
      </c>
      <c r="I8" s="11">
        <v>5.5E-2</v>
      </c>
      <c r="J8" s="11">
        <v>0.05</v>
      </c>
      <c r="K8" s="11">
        <v>4.4999999999999998E-2</v>
      </c>
      <c r="L8" s="11">
        <v>0.04</v>
      </c>
    </row>
    <row r="9" spans="2:12" x14ac:dyDescent="0.25">
      <c r="B9" s="2" t="s">
        <v>34</v>
      </c>
      <c r="C9" s="8">
        <f>C6*C10</f>
        <v>4.1040000000000001</v>
      </c>
      <c r="D9" s="8">
        <f t="shared" ref="D9:L9" si="2">D6*D10</f>
        <v>5.2249999999999996</v>
      </c>
      <c r="E9" s="8">
        <f t="shared" si="2"/>
        <v>5.6355000000000004</v>
      </c>
      <c r="F9" s="8">
        <f t="shared" si="2"/>
        <v>6.5</v>
      </c>
      <c r="G9" s="8">
        <f t="shared" si="2"/>
        <v>6.9695000000000009</v>
      </c>
      <c r="H9" s="8">
        <f t="shared" si="2"/>
        <v>7.3876700000000017</v>
      </c>
      <c r="I9" s="8">
        <f t="shared" si="2"/>
        <v>7.7939918500000003</v>
      </c>
      <c r="J9" s="8">
        <f t="shared" si="2"/>
        <v>8.1836914425000007</v>
      </c>
      <c r="K9" s="8">
        <f t="shared" si="2"/>
        <v>8.5519575574125</v>
      </c>
      <c r="L9" s="8">
        <f t="shared" si="2"/>
        <v>8.8940358597089997</v>
      </c>
    </row>
    <row r="10" spans="2:12" x14ac:dyDescent="0.25">
      <c r="B10" s="2" t="s">
        <v>43</v>
      </c>
      <c r="C10" s="11">
        <v>0.24</v>
      </c>
      <c r="D10" s="13">
        <v>0.25</v>
      </c>
      <c r="E10" s="11">
        <v>0.255</v>
      </c>
      <c r="F10" s="11">
        <v>0.26</v>
      </c>
      <c r="G10" s="11">
        <v>0.26500000000000001</v>
      </c>
      <c r="H10" s="11">
        <v>0.26500000000000001</v>
      </c>
      <c r="I10" s="11">
        <v>0.26500000000000001</v>
      </c>
      <c r="J10" s="11">
        <v>0.26500000000000001</v>
      </c>
      <c r="K10" s="11">
        <v>0.26500000000000001</v>
      </c>
      <c r="L10" s="11">
        <v>0.26500000000000001</v>
      </c>
    </row>
    <row r="11" spans="2:12" x14ac:dyDescent="0.25">
      <c r="B11" s="2"/>
    </row>
    <row r="12" spans="2:12" x14ac:dyDescent="0.25">
      <c r="B12" s="2" t="s">
        <v>44</v>
      </c>
      <c r="C12" s="11">
        <v>0.1</v>
      </c>
      <c r="D12" s="11">
        <v>0.1</v>
      </c>
      <c r="E12" s="11">
        <v>0.1</v>
      </c>
      <c r="F12" s="11">
        <v>0.1</v>
      </c>
      <c r="G12" s="11">
        <v>0.1</v>
      </c>
      <c r="H12" s="11">
        <v>0.1</v>
      </c>
      <c r="I12" s="11">
        <v>0.1</v>
      </c>
      <c r="J12" s="11">
        <v>0.1</v>
      </c>
      <c r="K12" s="11">
        <v>0.1</v>
      </c>
      <c r="L12" s="11">
        <v>0.1</v>
      </c>
    </row>
    <row r="13" spans="2:12" x14ac:dyDescent="0.25">
      <c r="B13" s="2" t="s">
        <v>50</v>
      </c>
      <c r="C13" s="8">
        <f>C6*C12</f>
        <v>1.7100000000000002</v>
      </c>
      <c r="D13" s="8">
        <f t="shared" ref="D13:L13" si="3">D6*D12</f>
        <v>2.09</v>
      </c>
      <c r="E13" s="8">
        <f t="shared" si="3"/>
        <v>2.2100000000000004</v>
      </c>
      <c r="F13" s="8">
        <f t="shared" si="3"/>
        <v>2.5</v>
      </c>
      <c r="G13" s="8">
        <f t="shared" si="3"/>
        <v>2.6300000000000003</v>
      </c>
      <c r="H13" s="8">
        <f t="shared" si="3"/>
        <v>2.7878000000000007</v>
      </c>
      <c r="I13" s="8">
        <f t="shared" si="3"/>
        <v>2.9411290000000001</v>
      </c>
      <c r="J13" s="8">
        <f t="shared" si="3"/>
        <v>3.0881854500000006</v>
      </c>
      <c r="K13" s="8">
        <f t="shared" si="3"/>
        <v>3.22715379525</v>
      </c>
      <c r="L13" s="8">
        <f t="shared" si="3"/>
        <v>3.3562399470600002</v>
      </c>
    </row>
    <row r="14" spans="2:12" x14ac:dyDescent="0.25">
      <c r="B14" s="2" t="s">
        <v>45</v>
      </c>
      <c r="C14" s="11">
        <v>0.18</v>
      </c>
      <c r="D14" s="11">
        <v>0.19</v>
      </c>
      <c r="E14" s="11">
        <v>0.2</v>
      </c>
      <c r="F14" s="11">
        <v>0.21</v>
      </c>
      <c r="G14" s="11">
        <v>0.22</v>
      </c>
      <c r="H14" s="11">
        <v>0.22</v>
      </c>
      <c r="I14" s="11">
        <v>0.22</v>
      </c>
      <c r="J14" s="11">
        <v>0.22</v>
      </c>
      <c r="K14" s="11">
        <v>0.22</v>
      </c>
      <c r="L14" s="11">
        <v>0.22</v>
      </c>
    </row>
    <row r="15" spans="2:12" x14ac:dyDescent="0.25">
      <c r="B15" s="2" t="s">
        <v>51</v>
      </c>
      <c r="C15" s="8">
        <f>C6*C14</f>
        <v>3.0780000000000003</v>
      </c>
      <c r="D15" s="8">
        <f t="shared" ref="D15:L15" si="4">D6*D14</f>
        <v>3.9709999999999996</v>
      </c>
      <c r="E15" s="8">
        <f t="shared" si="4"/>
        <v>4.4200000000000008</v>
      </c>
      <c r="F15" s="8">
        <f t="shared" si="4"/>
        <v>5.25</v>
      </c>
      <c r="G15" s="8">
        <f t="shared" si="4"/>
        <v>5.7860000000000005</v>
      </c>
      <c r="H15" s="8">
        <f t="shared" si="4"/>
        <v>6.1331600000000011</v>
      </c>
      <c r="I15" s="8">
        <f t="shared" si="4"/>
        <v>6.4704838000000002</v>
      </c>
      <c r="J15" s="8">
        <f t="shared" si="4"/>
        <v>6.7940079900000008</v>
      </c>
      <c r="K15" s="8">
        <f t="shared" si="4"/>
        <v>7.0997383495499991</v>
      </c>
      <c r="L15" s="8">
        <f t="shared" si="4"/>
        <v>7.3837278835319999</v>
      </c>
    </row>
    <row r="16" spans="2:12" x14ac:dyDescent="0.25">
      <c r="B16" s="2" t="s">
        <v>46</v>
      </c>
      <c r="C16" s="11">
        <v>5.0000000000000001E-3</v>
      </c>
      <c r="D16" s="11">
        <v>5.0000000000000001E-3</v>
      </c>
      <c r="E16" s="11">
        <v>5.0000000000000001E-3</v>
      </c>
      <c r="F16" s="11">
        <v>5.0000000000000001E-3</v>
      </c>
      <c r="G16" s="11">
        <v>5.0000000000000001E-3</v>
      </c>
      <c r="H16" s="11">
        <v>5.0000000000000001E-3</v>
      </c>
      <c r="I16" s="11">
        <v>5.0000000000000001E-3</v>
      </c>
      <c r="J16" s="11">
        <v>5.0000000000000001E-3</v>
      </c>
      <c r="K16" s="11">
        <v>5.0000000000000001E-3</v>
      </c>
      <c r="L16" s="11">
        <v>5.0000000000000001E-3</v>
      </c>
    </row>
    <row r="17" spans="2:12" x14ac:dyDescent="0.25">
      <c r="B17" s="2" t="s">
        <v>52</v>
      </c>
      <c r="C17" s="12">
        <f>C6*C16</f>
        <v>8.5500000000000007E-2</v>
      </c>
      <c r="D17" s="12">
        <f t="shared" ref="D17:L17" si="5">D6*D16</f>
        <v>0.1045</v>
      </c>
      <c r="E17" s="12">
        <f t="shared" si="5"/>
        <v>0.11050000000000001</v>
      </c>
      <c r="F17" s="12">
        <f t="shared" si="5"/>
        <v>0.125</v>
      </c>
      <c r="G17" s="12">
        <f t="shared" si="5"/>
        <v>0.13150000000000001</v>
      </c>
      <c r="H17" s="12">
        <f t="shared" si="5"/>
        <v>0.13939000000000001</v>
      </c>
      <c r="I17" s="12">
        <f t="shared" si="5"/>
        <v>0.14705645000000001</v>
      </c>
      <c r="J17" s="12">
        <f t="shared" si="5"/>
        <v>0.15440927250000003</v>
      </c>
      <c r="K17" s="12">
        <f t="shared" si="5"/>
        <v>0.16135768976249998</v>
      </c>
      <c r="L17" s="12">
        <f t="shared" si="5"/>
        <v>0.16781199735300001</v>
      </c>
    </row>
    <row r="18" spans="2:12" x14ac:dyDescent="0.25">
      <c r="B18" s="2" t="s">
        <v>30</v>
      </c>
      <c r="C18" s="12">
        <f>C9*(1-$C$10)+C13-C15-C17</f>
        <v>1.6655399999999998</v>
      </c>
      <c r="D18" s="12">
        <f t="shared" ref="D18:L18" si="6">D9*(1-$C$10)+D13-D15-D17</f>
        <v>1.9855000000000003</v>
      </c>
      <c r="E18" s="12">
        <f t="shared" si="6"/>
        <v>1.9624800000000002</v>
      </c>
      <c r="F18" s="12">
        <f t="shared" si="6"/>
        <v>2.0650000000000004</v>
      </c>
      <c r="G18" s="12">
        <f t="shared" si="6"/>
        <v>2.0093200000000007</v>
      </c>
      <c r="H18" s="12">
        <f t="shared" si="6"/>
        <v>2.1298792000000009</v>
      </c>
      <c r="I18" s="12">
        <f t="shared" si="6"/>
        <v>2.2470225560000001</v>
      </c>
      <c r="J18" s="12">
        <f t="shared" si="6"/>
        <v>2.3593736837999999</v>
      </c>
      <c r="K18" s="12">
        <f t="shared" si="6"/>
        <v>2.4655454995710011</v>
      </c>
      <c r="L18" s="12">
        <f t="shared" si="6"/>
        <v>2.5641673195538393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46DC-3CF2-489D-8C43-51FEF16D8D70}">
  <dimension ref="B2:C17"/>
  <sheetViews>
    <sheetView workbookViewId="0">
      <selection activeCell="I5" sqref="I5"/>
    </sheetView>
  </sheetViews>
  <sheetFormatPr defaultRowHeight="15" x14ac:dyDescent="0.25"/>
  <cols>
    <col min="1" max="2" width="9.140625" style="1"/>
    <col min="3" max="3" width="10.140625" style="1" bestFit="1" customWidth="1"/>
    <col min="4" max="16384" width="9.140625" style="1"/>
  </cols>
  <sheetData>
    <row r="2" spans="2:3" x14ac:dyDescent="0.25">
      <c r="B2" s="21" t="s">
        <v>67</v>
      </c>
      <c r="C2" s="21"/>
    </row>
    <row r="3" spans="2:3" x14ac:dyDescent="0.25">
      <c r="B3" s="2" t="s">
        <v>68</v>
      </c>
      <c r="C3" s="3">
        <f>Assumptions!C7</f>
        <v>4.2000000000000003E-2</v>
      </c>
    </row>
    <row r="4" spans="2:3" x14ac:dyDescent="0.25">
      <c r="B4" s="2" t="s">
        <v>69</v>
      </c>
      <c r="C4" s="3">
        <f>Assumptions!C8</f>
        <v>5.2499999999999998E-2</v>
      </c>
    </row>
    <row r="5" spans="2:3" x14ac:dyDescent="0.25">
      <c r="B5" s="2" t="s">
        <v>70</v>
      </c>
      <c r="C5" s="12">
        <f>Assumptions!C11</f>
        <v>0.7</v>
      </c>
    </row>
    <row r="6" spans="2:3" x14ac:dyDescent="0.25">
      <c r="B6" s="2" t="s">
        <v>71</v>
      </c>
      <c r="C6" s="3">
        <f>Assumptions!C12</f>
        <v>7.8750000000000001E-2</v>
      </c>
    </row>
    <row r="8" spans="2:3" x14ac:dyDescent="0.25">
      <c r="B8" s="2" t="s">
        <v>72</v>
      </c>
      <c r="C8" s="3">
        <f>Assumptions!C14</f>
        <v>0.05</v>
      </c>
    </row>
    <row r="9" spans="2:3" x14ac:dyDescent="0.25">
      <c r="B9" s="2" t="s">
        <v>73</v>
      </c>
      <c r="C9" s="3">
        <f>Assumptions!C9</f>
        <v>0.21</v>
      </c>
    </row>
    <row r="10" spans="2:3" x14ac:dyDescent="0.25">
      <c r="B10" s="2" t="s">
        <v>74</v>
      </c>
      <c r="C10" s="3">
        <f xml:space="preserve"> C8 * (1 - C9)</f>
        <v>3.9500000000000007E-2</v>
      </c>
    </row>
    <row r="11" spans="2:3" x14ac:dyDescent="0.25">
      <c r="B11" s="2"/>
    </row>
    <row r="12" spans="2:3" x14ac:dyDescent="0.25">
      <c r="B12" s="2" t="s">
        <v>12</v>
      </c>
    </row>
    <row r="13" spans="2:3" x14ac:dyDescent="0.25">
      <c r="B13" s="2" t="s">
        <v>75</v>
      </c>
      <c r="C13" s="6">
        <f>Assumptions!C18</f>
        <v>0.6</v>
      </c>
    </row>
    <row r="14" spans="2:3" x14ac:dyDescent="0.25">
      <c r="B14" s="2" t="s">
        <v>76</v>
      </c>
      <c r="C14" s="6">
        <f>Assumptions!C19</f>
        <v>0.4</v>
      </c>
    </row>
    <row r="15" spans="2:3" x14ac:dyDescent="0.25">
      <c r="B15" s="2"/>
    </row>
    <row r="16" spans="2:3" x14ac:dyDescent="0.25">
      <c r="B16" s="2" t="s">
        <v>77</v>
      </c>
      <c r="C16" s="3">
        <f xml:space="preserve"> C13*C6 + C14*C10</f>
        <v>6.3050000000000009E-2</v>
      </c>
    </row>
    <row r="17" spans="2:3" x14ac:dyDescent="0.25">
      <c r="B17" s="2" t="s">
        <v>78</v>
      </c>
      <c r="C17" s="3">
        <f>Assumptions!C30</f>
        <v>5.4980000000000001E-2</v>
      </c>
    </row>
  </sheetData>
  <mergeCells count="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0732-3F47-4C76-A3E5-B841C8E54590}">
  <dimension ref="B2:L20"/>
  <sheetViews>
    <sheetView workbookViewId="0">
      <selection activeCell="L19" sqref="L19"/>
    </sheetView>
  </sheetViews>
  <sheetFormatPr defaultColWidth="9.140625" defaultRowHeight="15" x14ac:dyDescent="0.25"/>
  <cols>
    <col min="1" max="11" width="9.140625" style="1"/>
    <col min="12" max="12" width="11.5703125" style="1" bestFit="1" customWidth="1"/>
    <col min="13" max="16384" width="9.140625" style="1"/>
  </cols>
  <sheetData>
    <row r="2" spans="2:12" x14ac:dyDescent="0.25">
      <c r="B2" s="2" t="s">
        <v>26</v>
      </c>
    </row>
    <row r="3" spans="2:12" x14ac:dyDescent="0.25">
      <c r="B3" s="9" t="s">
        <v>79</v>
      </c>
    </row>
    <row r="4" spans="2:12" x14ac:dyDescent="0.25"/>
    <row r="5" spans="2:12" x14ac:dyDescent="0.25">
      <c r="B5" s="2" t="s">
        <v>27</v>
      </c>
      <c r="C5" s="2">
        <f>Assumptions!C2</f>
        <v>2021</v>
      </c>
      <c r="D5" s="2">
        <f>Assumptions!D2</f>
        <v>2022</v>
      </c>
      <c r="E5" s="2">
        <f>Assumptions!E2</f>
        <v>2023</v>
      </c>
      <c r="F5" s="2">
        <f>Assumptions!F2</f>
        <v>2024</v>
      </c>
      <c r="G5" s="2">
        <f>Assumptions!G2</f>
        <v>2025</v>
      </c>
      <c r="H5" s="2">
        <f>Assumptions!H2</f>
        <v>2026</v>
      </c>
      <c r="I5" s="2">
        <f>Assumptions!I2</f>
        <v>2027</v>
      </c>
      <c r="J5" s="2">
        <f>Assumptions!J2</f>
        <v>2028</v>
      </c>
      <c r="K5" s="2">
        <f>Assumptions!K2</f>
        <v>2029</v>
      </c>
      <c r="L5" s="2">
        <f>Assumptions!L2</f>
        <v>2030</v>
      </c>
    </row>
    <row r="6" spans="2:12" x14ac:dyDescent="0.25">
      <c r="B6" s="2" t="s">
        <v>28</v>
      </c>
      <c r="C6" s="1">
        <v>0</v>
      </c>
      <c r="D6" s="1">
        <f>C6+1</f>
        <v>1</v>
      </c>
      <c r="E6" s="1">
        <f t="shared" ref="E6:L6" si="0">D6+1</f>
        <v>2</v>
      </c>
      <c r="F6" s="1">
        <f t="shared" si="0"/>
        <v>3</v>
      </c>
      <c r="G6" s="1">
        <f t="shared" si="0"/>
        <v>4</v>
      </c>
      <c r="H6" s="1">
        <f t="shared" si="0"/>
        <v>5</v>
      </c>
      <c r="I6" s="1">
        <f t="shared" si="0"/>
        <v>6</v>
      </c>
      <c r="J6" s="1">
        <f t="shared" si="0"/>
        <v>7</v>
      </c>
      <c r="K6" s="1">
        <f t="shared" si="0"/>
        <v>8</v>
      </c>
      <c r="L6" s="1">
        <f t="shared" si="0"/>
        <v>9</v>
      </c>
    </row>
    <row r="7" spans="2:12" x14ac:dyDescent="0.25">
      <c r="B7" s="2"/>
    </row>
    <row r="8" spans="2:12" x14ac:dyDescent="0.25">
      <c r="B8" s="2" t="s">
        <v>25</v>
      </c>
      <c r="C8" s="3">
        <f>Assumptions!C36</f>
        <v>6.3050000000000009E-2</v>
      </c>
      <c r="D8" s="3">
        <f>Assumptions!D36</f>
        <v>6.3050000000000009E-2</v>
      </c>
      <c r="E8" s="3">
        <f>Assumptions!E36</f>
        <v>6.3050000000000009E-2</v>
      </c>
      <c r="F8" s="3">
        <f>Assumptions!F36</f>
        <v>6.3050000000000009E-2</v>
      </c>
      <c r="G8" s="3">
        <f>Assumptions!G36</f>
        <v>6.3050000000000009E-2</v>
      </c>
      <c r="H8" s="3">
        <f>Assumptions!H36</f>
        <v>6.2243000000000007E-2</v>
      </c>
      <c r="I8" s="3">
        <f>Assumptions!I36</f>
        <v>6.0629000000000002E-2</v>
      </c>
      <c r="J8" s="3">
        <f>Assumptions!J36</f>
        <v>5.9015000000000005E-2</v>
      </c>
      <c r="K8" s="3">
        <f>Assumptions!K36</f>
        <v>5.7401000000000001E-2</v>
      </c>
      <c r="L8" s="3">
        <f>Assumptions!L36</f>
        <v>5.5787000000000003E-2</v>
      </c>
    </row>
    <row r="9" spans="2:12" x14ac:dyDescent="0.25">
      <c r="B9" s="2" t="s">
        <v>29</v>
      </c>
      <c r="C9" s="1">
        <f>1/(1+C8)^C6</f>
        <v>1</v>
      </c>
      <c r="D9" s="1">
        <f t="shared" ref="D9:L9" si="1">1/(1+D8)^D6</f>
        <v>0.94068952542213435</v>
      </c>
      <c r="E9" s="1">
        <f t="shared" si="1"/>
        <v>0.8848967832389204</v>
      </c>
      <c r="F9" s="1">
        <f t="shared" si="1"/>
        <v>0.8324131350725934</v>
      </c>
      <c r="G9" s="1">
        <f t="shared" si="1"/>
        <v>0.78304231698658888</v>
      </c>
      <c r="H9" s="1">
        <f t="shared" si="1"/>
        <v>0.7394019826693089</v>
      </c>
      <c r="I9" s="1">
        <f t="shared" si="1"/>
        <v>0.70245581948635238</v>
      </c>
      <c r="J9" s="1">
        <f t="shared" si="1"/>
        <v>0.66939924654424854</v>
      </c>
      <c r="K9" s="1">
        <f t="shared" si="1"/>
        <v>0.63985602794080787</v>
      </c>
      <c r="L9" s="1">
        <f t="shared" si="1"/>
        <v>0.61349808053911892</v>
      </c>
    </row>
    <row r="10" spans="2:12" x14ac:dyDescent="0.25">
      <c r="B10" s="2"/>
    </row>
    <row r="11" spans="2:12" x14ac:dyDescent="0.25">
      <c r="B11" s="2" t="s">
        <v>30</v>
      </c>
      <c r="C11" s="12">
        <f>FinStatements!C18</f>
        <v>1.6655399999999998</v>
      </c>
      <c r="D11" s="12">
        <f>FinStatements!D18</f>
        <v>1.9855000000000003</v>
      </c>
      <c r="E11" s="12">
        <f>FinStatements!E18</f>
        <v>1.9624800000000002</v>
      </c>
      <c r="F11" s="12">
        <f>FinStatements!F18</f>
        <v>2.0650000000000004</v>
      </c>
      <c r="G11" s="12">
        <f>FinStatements!G18</f>
        <v>2.0093200000000007</v>
      </c>
      <c r="H11" s="12">
        <f>FinStatements!H18</f>
        <v>2.1298792000000009</v>
      </c>
      <c r="I11" s="12">
        <f>FinStatements!I18</f>
        <v>2.2470225560000001</v>
      </c>
      <c r="J11" s="12">
        <f>FinStatements!J18</f>
        <v>2.3593736837999999</v>
      </c>
      <c r="K11" s="12">
        <f>FinStatements!K18</f>
        <v>2.4655454995710011</v>
      </c>
      <c r="L11" s="12">
        <f>FinStatements!L18</f>
        <v>2.5641673195538393</v>
      </c>
    </row>
    <row r="12" spans="2:12" x14ac:dyDescent="0.25">
      <c r="B12" s="2" t="s">
        <v>31</v>
      </c>
      <c r="C12" s="1">
        <f>C11*C9</f>
        <v>1.6655399999999998</v>
      </c>
      <c r="D12" s="1">
        <f t="shared" ref="D12:L12" si="2">D11*D9</f>
        <v>1.8677390527256481</v>
      </c>
      <c r="E12" s="1">
        <f t="shared" si="2"/>
        <v>1.7365922391707167</v>
      </c>
      <c r="F12" s="1">
        <f t="shared" si="2"/>
        <v>1.7189331239249057</v>
      </c>
      <c r="G12" s="1">
        <f t="shared" si="2"/>
        <v>1.5733825883674932</v>
      </c>
      <c r="H12" s="1">
        <f t="shared" si="2"/>
        <v>1.574836903326122</v>
      </c>
      <c r="I12" s="1">
        <f t="shared" si="2"/>
        <v>1.5784340709792983</v>
      </c>
      <c r="J12" s="1">
        <f t="shared" si="2"/>
        <v>1.5793629662520481</v>
      </c>
      <c r="K12" s="1">
        <f t="shared" si="2"/>
        <v>1.5775941500628357</v>
      </c>
      <c r="L12" s="1">
        <f t="shared" si="2"/>
        <v>1.5731117287274179</v>
      </c>
    </row>
    <row r="13" spans="2:12" x14ac:dyDescent="0.25">
      <c r="B13" s="2"/>
    </row>
    <row r="14" spans="2:12" x14ac:dyDescent="0.25">
      <c r="B14" s="2" t="s">
        <v>59</v>
      </c>
      <c r="L14" s="12">
        <f xml:space="preserve"> FinStatements!L9*(1-Assumptions!C9)
+ FinStatements!L12
- FinStatements!L6*Assumptions!C38
- FinStatements!L16</f>
        <v>3.5972363847571098</v>
      </c>
    </row>
    <row r="15" spans="2:12" x14ac:dyDescent="0.25">
      <c r="B15" s="2" t="s">
        <v>32</v>
      </c>
      <c r="L15" s="12">
        <f>L14*(1+Assumptions!C27)/(L8-Assumptions!C27)</f>
        <v>119.76377348803187</v>
      </c>
    </row>
    <row r="16" spans="2:12" x14ac:dyDescent="0.25">
      <c r="B16" s="2" t="s">
        <v>33</v>
      </c>
      <c r="L16" s="12">
        <f>L15*L9</f>
        <v>73.474845153029378</v>
      </c>
    </row>
    <row r="17" spans="2:12" x14ac:dyDescent="0.25">
      <c r="B17" s="2"/>
    </row>
    <row r="18" spans="2:12" x14ac:dyDescent="0.25">
      <c r="B18" s="2" t="s">
        <v>54</v>
      </c>
      <c r="C18" s="12"/>
      <c r="L18" s="8">
        <f>SUM(C12:L12)+L16</f>
        <v>89.92037197656586</v>
      </c>
    </row>
    <row r="19" spans="2:12" x14ac:dyDescent="0.25">
      <c r="B19" s="2" t="s">
        <v>55</v>
      </c>
      <c r="L19" s="1">
        <v>80.8</v>
      </c>
    </row>
    <row r="20" spans="2:12" x14ac:dyDescent="0.25">
      <c r="B20" s="2" t="s">
        <v>56</v>
      </c>
      <c r="L20" s="8">
        <f>L18-L19</f>
        <v>9.1203719765658633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CBC46-51AF-461B-9E08-E8EC65829586}">
  <dimension ref="B2:C24"/>
  <sheetViews>
    <sheetView workbookViewId="0">
      <selection activeCell="C5" sqref="C5"/>
    </sheetView>
  </sheetViews>
  <sheetFormatPr defaultRowHeight="15" x14ac:dyDescent="0.25"/>
  <cols>
    <col min="1" max="2" width="9.140625" style="1"/>
    <col min="3" max="3" width="9.42578125" style="1" bestFit="1" customWidth="1"/>
    <col min="4" max="16384" width="9.140625" style="1"/>
  </cols>
  <sheetData>
    <row r="2" spans="2:3" x14ac:dyDescent="0.25">
      <c r="B2" s="2" t="s">
        <v>80</v>
      </c>
    </row>
    <row r="4" spans="2:3" x14ac:dyDescent="0.25">
      <c r="B4" s="2" t="s">
        <v>81</v>
      </c>
    </row>
    <row r="5" spans="2:3" x14ac:dyDescent="0.25">
      <c r="B5" s="2" t="s">
        <v>82</v>
      </c>
      <c r="C5" s="1">
        <v>83.85</v>
      </c>
    </row>
    <row r="6" spans="2:3" x14ac:dyDescent="0.25">
      <c r="B6" s="2" t="s">
        <v>83</v>
      </c>
      <c r="C6" s="1">
        <v>2057</v>
      </c>
    </row>
    <row r="7" spans="2:3" x14ac:dyDescent="0.25">
      <c r="B7" s="2" t="s">
        <v>84</v>
      </c>
      <c r="C7" s="1">
        <v>80.8</v>
      </c>
    </row>
    <row r="8" spans="2:3" x14ac:dyDescent="0.25">
      <c r="B8" s="2" t="s">
        <v>73</v>
      </c>
      <c r="C8" s="11">
        <v>0.21</v>
      </c>
    </row>
    <row r="9" spans="2:3" x14ac:dyDescent="0.25">
      <c r="B9" s="2"/>
    </row>
    <row r="10" spans="2:3" x14ac:dyDescent="0.25">
      <c r="B10" s="2" t="s">
        <v>85</v>
      </c>
    </row>
    <row r="11" spans="2:3" x14ac:dyDescent="0.25">
      <c r="B11" s="2" t="s">
        <v>86</v>
      </c>
      <c r="C11" s="8">
        <f>C5 * C6</f>
        <v>172479.44999999998</v>
      </c>
    </row>
    <row r="12" spans="2:3" x14ac:dyDescent="0.25">
      <c r="B12" s="2" t="s">
        <v>87</v>
      </c>
      <c r="C12" s="8">
        <f>C11 + C7</f>
        <v>172560.24999999997</v>
      </c>
    </row>
    <row r="13" spans="2:3" x14ac:dyDescent="0.25">
      <c r="B13" s="2"/>
    </row>
    <row r="14" spans="2:3" x14ac:dyDescent="0.25">
      <c r="B14" s="2" t="s">
        <v>88</v>
      </c>
    </row>
    <row r="15" spans="2:3" x14ac:dyDescent="0.25">
      <c r="B15" s="2" t="s">
        <v>41</v>
      </c>
      <c r="C15" s="22">
        <v>26300</v>
      </c>
    </row>
    <row r="16" spans="2:3" x14ac:dyDescent="0.25">
      <c r="B16" s="2" t="s">
        <v>89</v>
      </c>
      <c r="C16" s="22">
        <v>14330</v>
      </c>
    </row>
    <row r="17" spans="2:3" x14ac:dyDescent="0.25">
      <c r="B17" s="2" t="s">
        <v>96</v>
      </c>
      <c r="C17" s="22">
        <v>7520</v>
      </c>
    </row>
    <row r="18" spans="2:3" x14ac:dyDescent="0.25">
      <c r="B18" s="2" t="s">
        <v>90</v>
      </c>
      <c r="C18" s="22">
        <v>6500</v>
      </c>
    </row>
    <row r="19" spans="2:3" x14ac:dyDescent="0.25">
      <c r="B19" s="2"/>
    </row>
    <row r="20" spans="2:3" x14ac:dyDescent="0.25">
      <c r="B20" s="2" t="s">
        <v>91</v>
      </c>
    </row>
    <row r="21" spans="2:3" x14ac:dyDescent="0.25">
      <c r="B21" s="2" t="s">
        <v>92</v>
      </c>
      <c r="C21" s="12">
        <f xml:space="preserve"> C12 / C15</f>
        <v>6.5612262357414437</v>
      </c>
    </row>
    <row r="22" spans="2:3" x14ac:dyDescent="0.25">
      <c r="B22" s="2" t="s">
        <v>95</v>
      </c>
      <c r="C22" s="1">
        <f>C12/C16</f>
        <v>12.041887648290299</v>
      </c>
    </row>
    <row r="23" spans="2:3" x14ac:dyDescent="0.25">
      <c r="B23" s="2" t="s">
        <v>93</v>
      </c>
      <c r="C23" s="1">
        <f>C12/C17</f>
        <v>22.946841755319145</v>
      </c>
    </row>
    <row r="24" spans="2:3" x14ac:dyDescent="0.25">
      <c r="B24" s="2" t="s">
        <v>94</v>
      </c>
      <c r="C24" s="1">
        <f>C11/C18</f>
        <v>26.535299999999996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D079-7503-40D9-88BD-588A0B6E732B}">
  <dimension ref="B2:F21"/>
  <sheetViews>
    <sheetView workbookViewId="0">
      <selection activeCell="F4" sqref="F4"/>
    </sheetView>
  </sheetViews>
  <sheetFormatPr defaultRowHeight="15" x14ac:dyDescent="0.25"/>
  <cols>
    <col min="1" max="5" width="9.140625" style="1"/>
    <col min="6" max="6" width="9.42578125" style="1" bestFit="1" customWidth="1"/>
    <col min="7" max="16384" width="9.140625" style="1"/>
  </cols>
  <sheetData>
    <row r="2" spans="2:6" x14ac:dyDescent="0.25">
      <c r="B2" s="2" t="s">
        <v>97</v>
      </c>
    </row>
    <row r="3" spans="2:6" x14ac:dyDescent="0.25">
      <c r="B3" s="2"/>
    </row>
    <row r="4" spans="2:6" x14ac:dyDescent="0.25">
      <c r="B4" s="2" t="s">
        <v>98</v>
      </c>
    </row>
    <row r="5" spans="2:6" x14ac:dyDescent="0.25">
      <c r="B5" s="2" t="s">
        <v>54</v>
      </c>
      <c r="F5" s="18">
        <f>DCF!L18</f>
        <v>89.92037197656586</v>
      </c>
    </row>
    <row r="6" spans="2:6" x14ac:dyDescent="0.25">
      <c r="B6" s="2" t="s">
        <v>55</v>
      </c>
      <c r="F6" s="18">
        <f>DCF!L19</f>
        <v>80.8</v>
      </c>
    </row>
    <row r="7" spans="2:6" x14ac:dyDescent="0.25">
      <c r="B7" s="2" t="s">
        <v>56</v>
      </c>
      <c r="F7" s="18">
        <f>DCF!L20</f>
        <v>9.1203719765658633</v>
      </c>
    </row>
    <row r="8" spans="2:6" x14ac:dyDescent="0.25">
      <c r="B8" s="2" t="s">
        <v>99</v>
      </c>
      <c r="F8" s="14">
        <f>Comps!C6</f>
        <v>2057</v>
      </c>
    </row>
    <row r="9" spans="2:6" x14ac:dyDescent="0.25">
      <c r="B9" s="2" t="s">
        <v>100</v>
      </c>
      <c r="F9" s="18">
        <f>(F7*1000)/F8</f>
        <v>4.4338220595847657</v>
      </c>
    </row>
    <row r="10" spans="2:6" x14ac:dyDescent="0.25">
      <c r="B10" s="2"/>
      <c r="F10" s="14"/>
    </row>
    <row r="11" spans="2:6" x14ac:dyDescent="0.25">
      <c r="B11" s="2" t="s">
        <v>101</v>
      </c>
      <c r="F11" s="14"/>
    </row>
    <row r="12" spans="2:6" x14ac:dyDescent="0.25">
      <c r="B12" s="2" t="s">
        <v>102</v>
      </c>
      <c r="F12" s="14">
        <f>Comps!C5</f>
        <v>83.85</v>
      </c>
    </row>
    <row r="13" spans="2:6" x14ac:dyDescent="0.25">
      <c r="B13" s="2" t="s">
        <v>103</v>
      </c>
      <c r="F13" s="18">
        <f>Comps!C22</f>
        <v>12.041887648290299</v>
      </c>
    </row>
    <row r="14" spans="2:6" x14ac:dyDescent="0.25">
      <c r="B14" s="2" t="s">
        <v>104</v>
      </c>
      <c r="F14" s="14">
        <f>((Comps!C22 * Comps!C16) - Comps!C7) / Comps!C6</f>
        <v>83.85</v>
      </c>
    </row>
    <row r="15" spans="2:6" x14ac:dyDescent="0.25">
      <c r="B15" s="2"/>
      <c r="F15" s="14"/>
    </row>
    <row r="16" spans="2:6" x14ac:dyDescent="0.25">
      <c r="B16" s="2" t="s">
        <v>105</v>
      </c>
      <c r="F16" s="14"/>
    </row>
    <row r="17" spans="2:6" x14ac:dyDescent="0.25">
      <c r="B17" s="2" t="s">
        <v>106</v>
      </c>
      <c r="F17" s="23">
        <v>0.6</v>
      </c>
    </row>
    <row r="18" spans="2:6" x14ac:dyDescent="0.25">
      <c r="B18" s="2" t="s">
        <v>107</v>
      </c>
      <c r="F18" s="23">
        <v>0.4</v>
      </c>
    </row>
    <row r="19" spans="2:6" x14ac:dyDescent="0.25">
      <c r="B19" s="2" t="s">
        <v>108</v>
      </c>
      <c r="F19" s="19">
        <f>(F9*0.6)+(F14*0.4)</f>
        <v>36.200293235750856</v>
      </c>
    </row>
    <row r="20" spans="2:6" x14ac:dyDescent="0.25">
      <c r="B20" s="2" t="s">
        <v>109</v>
      </c>
      <c r="F20" s="16">
        <f>(F19/F12)-1</f>
        <v>-0.56827318740905364</v>
      </c>
    </row>
    <row r="21" spans="2:6" x14ac:dyDescent="0.25">
      <c r="B21" s="2" t="s">
        <v>110</v>
      </c>
      <c r="F21" s="14"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Assumptions</vt:lpstr>
      <vt:lpstr>Historicals</vt:lpstr>
      <vt:lpstr>Forecast</vt:lpstr>
      <vt:lpstr>FinStatements</vt:lpstr>
      <vt:lpstr>WACC</vt:lpstr>
      <vt:lpstr>DCF</vt:lpstr>
      <vt:lpstr>Comps</vt: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Pandey</dc:creator>
  <cp:lastModifiedBy>Utkarsh Pandey</cp:lastModifiedBy>
  <dcterms:created xsi:type="dcterms:W3CDTF">2026-01-11T23:22:49Z</dcterms:created>
  <dcterms:modified xsi:type="dcterms:W3CDTF">2026-01-22T04:31:11Z</dcterms:modified>
</cp:coreProperties>
</file>